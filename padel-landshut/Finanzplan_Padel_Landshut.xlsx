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Annahmen" sheetId="2" state="visible" r:id="rId4"/>
    <sheet name="Investition" sheetId="3" state="visible" r:id="rId5"/>
    <sheet name="Finanzierung" sheetId="4" state="visible" r:id="rId6"/>
    <sheet name="Umsatz" sheetId="5" state="visible" r:id="rId7"/>
    <sheet name="Kosten" sheetId="6" state="visible" r:id="rId8"/>
    <sheet name="GuV_Cashflow" sheetId="7" state="visible" r:id="rId9"/>
    <sheet name="Liquiditaet_J1" sheetId="8" state="visible" r:id="rId10"/>
    <sheet name="Break_Even" sheetId="9" state="visible" r:id="rId11"/>
    <sheet name="Sensitivitae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<sst xmlns="http://schemas.openxmlformats.org/spreadsheetml/2006/main" count="408" uniqueCount="302">
  <si>
    <t xml:space="preserve">Finanzplan Padel-Halle Landshut — 4 Indoor-Courts in gemieteter Halle</t>
  </si>
  <si>
    <t xml:space="preserve">Planungsstand Juli 2026 — alle Beträge netto, sofern nicht anders vermerkt</t>
  </si>
  <si>
    <t xml:space="preserve">So benutzt du das Modell</t>
  </si>
  <si>
    <t xml:space="preserve">1.</t>
  </si>
  <si>
    <t xml:space="preserve">Alle Eingaben stehen auf dem Blatt »Annahmen«. Nur dort ändern.</t>
  </si>
  <si>
    <t xml:space="preserve">2.</t>
  </si>
  <si>
    <t xml:space="preserve">BLAUE Zahlen sind Eingaben und dürfen überschrieben werden.</t>
  </si>
  <si>
    <t xml:space="preserve">3.</t>
  </si>
  <si>
    <t xml:space="preserve">SCHWARZE Zahlen sind Formeln. Nicht überschreiben — sonst rechnet das Modell falsch.</t>
  </si>
  <si>
    <t xml:space="preserve">4.</t>
  </si>
  <si>
    <t xml:space="preserve">GRÜNE Zahlen sind Verweise auf ein anderes Blatt.</t>
  </si>
  <si>
    <t xml:space="preserve">5.</t>
  </si>
  <si>
    <t xml:space="preserve">GELB hinterlegt = Schlüsselannahme mit großem Ergebnishebel.</t>
  </si>
  <si>
    <t xml:space="preserve">6.</t>
  </si>
  <si>
    <t xml:space="preserve">Die vier Szenario-Regler auf »Annahmen« wirken auf das gesamte Modell.</t>
  </si>
  <si>
    <t xml:space="preserve">7.</t>
  </si>
  <si>
    <t xml:space="preserve">Blatt »Sensitivität« rechnet Varianten für Jahr 3 durch, ohne die Regler zu verändern.</t>
  </si>
  <si>
    <t xml:space="preserve">Blätter</t>
  </si>
  <si>
    <t xml:space="preserve">Annahmen</t>
  </si>
  <si>
    <t xml:space="preserve">Alle Eingaben: Kapazität, Preise, Auslastung, Zusatzerlöse, Kosten, Szenario-Regler</t>
  </si>
  <si>
    <t xml:space="preserve">Investition</t>
  </si>
  <si>
    <t xml:space="preserve">Investitionsplan, Puffer, Liquiditätsreserve, Vorsteuer-Zwischenfinanzierung</t>
  </si>
  <si>
    <t xml:space="preserve">Finanzierung</t>
  </si>
  <si>
    <t xml:space="preserve">Mittelherkunft und Kapitaldienst je Darlehen über 5 Jahre</t>
  </si>
  <si>
    <t xml:space="preserve">Umsatz</t>
  </si>
  <si>
    <t xml:space="preserve">Verkaufte Stunden, Courterlöse, Zusatzerlöse, Gesamtauslastung</t>
  </si>
  <si>
    <t xml:space="preserve">Kosten</t>
  </si>
  <si>
    <t xml:space="preserve">Miete, Energie, Personal und übrige Betriebskosten</t>
  </si>
  <si>
    <t xml:space="preserve">GuV_Cashflow</t>
  </si>
  <si>
    <t xml:space="preserve">EBITDA, Abschreibung, Zinsen, Steuern, Cashflow nach Kapitaldienst</t>
  </si>
  <si>
    <t xml:space="preserve">Liquiditaet_J1</t>
  </si>
  <si>
    <t xml:space="preserve">Monatliche Liquidität im ersten Betriebsjahr — verlangt die Bank</t>
  </si>
  <si>
    <t xml:space="preserve">Break_Even</t>
  </si>
  <si>
    <t xml:space="preserve">Break-even-Auslastung und Deckungsbeitragsrechnung</t>
  </si>
  <si>
    <t xml:space="preserve">Sensitivitaet</t>
  </si>
  <si>
    <t xml:space="preserve">Sieben Varianten für Jahr 3 im Vergleich</t>
  </si>
  <si>
    <t xml:space="preserve">Legende</t>
  </si>
  <si>
    <t xml:space="preserve">123.456 €</t>
  </si>
  <si>
    <t xml:space="preserve">Eingabe — anpassbar</t>
  </si>
  <si>
    <t xml:space="preserve">Formel — nicht überschreiben</t>
  </si>
  <si>
    <t xml:space="preserve">Verweis auf anderes Blatt</t>
  </si>
  <si>
    <t xml:space="preserve">Schlüsselannahme</t>
  </si>
  <si>
    <t xml:space="preserve">Hinweise zur Belastbarkeit</t>
  </si>
  <si>
    <t xml:space="preserve">Alle Werte sind Planannahmen auf Basis von Branchen-Benchmarks (Stand Juli 2026), keine Zusagen.</t>
  </si>
  <si>
    <t xml:space="preserve">Vor der Finanzierungsentscheidung verbindlich einholen: Mietangebot mit Höhenaufmaß,</t>
  </si>
  <si>
    <t xml:space="preserve">drei schriftliche Court-Angebote, Bauvoranfrage beim Bauamt, Energiekostenangebot.</t>
  </si>
  <si>
    <t xml:space="preserve">Quellen der Benchmarks: Deutscher Padel Verband, padel-guide.de, rechn24.de, padel-konzept.de.</t>
  </si>
  <si>
    <t xml:space="preserve">Annahmen — alle blauen Zellen sind anpassbar</t>
  </si>
  <si>
    <t xml:space="preserve">1. Kapazität</t>
  </si>
  <si>
    <t xml:space="preserve">Anzahl Courts</t>
  </si>
  <si>
    <t xml:space="preserve">Layout 2 × 2, Erweiterung auf 5–6 möglich</t>
  </si>
  <si>
    <t xml:space="preserve">Öffnungsstunden pro Tag</t>
  </si>
  <si>
    <t xml:space="preserve">07:00–23:00 Uhr</t>
  </si>
  <si>
    <t xml:space="preserve">Betriebstage pro Jahr</t>
  </si>
  <si>
    <t xml:space="preserve">abzüglich Feiertage/Wartung</t>
  </si>
  <si>
    <t xml:space="preserve">Vermarktungswochen pro Jahr</t>
  </si>
  <si>
    <t xml:space="preserve">konservativer Abschlag für Ferien/Feiertage</t>
  </si>
  <si>
    <t xml:space="preserve">Prime-Stunden je Woche und Court</t>
  </si>
  <si>
    <t xml:space="preserve">Mo–Fr 17–22, Sa/So 9–19</t>
  </si>
  <si>
    <t xml:space="preserve">Standard-Stunden je Woche und Court</t>
  </si>
  <si>
    <t xml:space="preserve">Mo–Fr 9–17, So ab 19</t>
  </si>
  <si>
    <t xml:space="preserve">Rand-Stunden je Woche und Court</t>
  </si>
  <si>
    <t xml:space="preserve">täglich 7–9 und 22–23</t>
  </si>
  <si>
    <t xml:space="preserve">Summe Stunden je Woche und Court</t>
  </si>
  <si>
    <t xml:space="preserve">Kontrolle: sollte Öffnungsstunden × 7 entsprechen</t>
  </si>
  <si>
    <t xml:space="preserve">Buchbare Court-Stunden pro Jahr</t>
  </si>
  <si>
    <t xml:space="preserve">Kapazitätsbasis für die Auslastungsquote</t>
  </si>
  <si>
    <t xml:space="preserve">2. Preise je Court und Stunde</t>
  </si>
  <si>
    <t xml:space="preserve">Umsatzsteuersatz</t>
  </si>
  <si>
    <t xml:space="preserve">Kurzfristige Sportanlagenvermietung: 19 %</t>
  </si>
  <si>
    <t xml:space="preserve">brutto</t>
  </si>
  <si>
    <t xml:space="preserve">netto</t>
  </si>
  <si>
    <t xml:space="preserve">Prime</t>
  </si>
  <si>
    <t xml:space="preserve">11,00 € je Spieler — größter Ergebnishebel neben der Auslastung</t>
  </si>
  <si>
    <t xml:space="preserve">Standard</t>
  </si>
  <si>
    <t xml:space="preserve">Rand (früh/spät)</t>
  </si>
  <si>
    <t xml:space="preserve">3. Auslastung je Zeitfenster</t>
  </si>
  <si>
    <t xml:space="preserve">Jahr 1</t>
  </si>
  <si>
    <t xml:space="preserve">Jahr 2</t>
  </si>
  <si>
    <t xml:space="preserve">Jahr 3</t>
  </si>
  <si>
    <t xml:space="preserve">Jahr 4</t>
  </si>
  <si>
    <t xml:space="preserve">Jahr 5</t>
  </si>
  <si>
    <t xml:space="preserve">Prime füllt sich von allein; Standard ist die eigentliche Vertriebsaufgabe</t>
  </si>
  <si>
    <t xml:space="preserve">4. Zusatzerlöse (netto, € pro Jahr)</t>
  </si>
  <si>
    <t xml:space="preserve">Getränke, Snacks, Automaten</t>
  </si>
  <si>
    <t xml:space="preserve">Kurse, Training, Camps</t>
  </si>
  <si>
    <t xml:space="preserve">Abos und Mitgliedschaften</t>
  </si>
  <si>
    <t xml:space="preserve">Shop, Verleih, Bespannung</t>
  </si>
  <si>
    <t xml:space="preserve">Turniere, Events, Sponsoring</t>
  </si>
  <si>
    <t xml:space="preserve">Summe Zusatzerlöse</t>
  </si>
  <si>
    <t xml:space="preserve">5. Kosten</t>
  </si>
  <si>
    <t xml:space="preserve">Hallenfläche (m²)</t>
  </si>
  <si>
    <t xml:space="preserve">1.300–1.600 m² für 4 Courts inkl. Nebenräume</t>
  </si>
  <si>
    <t xml:space="preserve">Kaltmiete (€ je m² und Monat)</t>
  </si>
  <si>
    <t xml:space="preserve">Zielkorridor 4,50–6,00 € — darüber kippt die Kalkulation</t>
  </si>
  <si>
    <t xml:space="preserve">Nebenkosten (€ je m² und Monat)</t>
  </si>
  <si>
    <t xml:space="preserve">Kappungsgrenze im Mietvertrag verhandeln</t>
  </si>
  <si>
    <t xml:space="preserve">Mietfreie Monate im Betriebsjahr 1</t>
  </si>
  <si>
    <t xml:space="preserve">Der Großteil der mietfreien Zeit liegt in der Bauphase (Jahr 0)</t>
  </si>
  <si>
    <t xml:space="preserve">Mietsteigerung p. a. ab Jahr 3</t>
  </si>
  <si>
    <t xml:space="preserve">Staffelmiete statt Indexmiete verhandeln</t>
  </si>
  <si>
    <t xml:space="preserve">Energie (Strom, Wärme, Wasser)</t>
  </si>
  <si>
    <t xml:space="preserve">Personal inkl. Geschäftsführung</t>
  </si>
  <si>
    <t xml:space="preserve">Personalquote ~25 % — nur mit Smart-Access-Betrieb erreichbar</t>
  </si>
  <si>
    <t xml:space="preserve">Instandhaltung, Reinigung, Courtpflege</t>
  </si>
  <si>
    <t xml:space="preserve">IT, Buchungssystem, Zahlungsgebühren</t>
  </si>
  <si>
    <t xml:space="preserve">Versicherungen</t>
  </si>
  <si>
    <t xml:space="preserve">Marketing</t>
  </si>
  <si>
    <t xml:space="preserve">Verwaltung, Steuerberatung, Recht</t>
  </si>
  <si>
    <t xml:space="preserve">Verbrauchsmaterial (Bälle, Sand, Leihschläger)</t>
  </si>
  <si>
    <t xml:space="preserve">Wareneinsatzquote auf Getränke und Shop</t>
  </si>
  <si>
    <t xml:space="preserve">Rohertrag rund 48 %</t>
  </si>
  <si>
    <t xml:space="preserve">6. Szenario-Regler (100 % / 0 € = Basisplan)</t>
  </si>
  <si>
    <t xml:space="preserve">Auslastungsfaktor</t>
  </si>
  <si>
    <t xml:space="preserve">wirkt auf alle drei Zeitfenster und die Zusatzerlöse</t>
  </si>
  <si>
    <t xml:space="preserve">Preisfaktor</t>
  </si>
  <si>
    <t xml:space="preserve">wirkt auf alle Courtpreise</t>
  </si>
  <si>
    <t xml:space="preserve">Energiefaktor</t>
  </si>
  <si>
    <t xml:space="preserve">wirkt auf die Energiekosten aller Jahre</t>
  </si>
  <si>
    <t xml:space="preserve">Mietaufschlag (€ je m² und Monat)</t>
  </si>
  <si>
    <t xml:space="preserve">additiv auf die Kaltmiete</t>
  </si>
  <si>
    <t xml:space="preserve">7. Abschreibung und Steuern</t>
  </si>
  <si>
    <t xml:space="preserve">Nutzungsdauer Courts und Einbauten (Jahre)</t>
  </si>
  <si>
    <t xml:space="preserve">an die Mietvertragslaufzeit gekoppelt</t>
  </si>
  <si>
    <t xml:space="preserve">Anteil aktivierungsfähig an der Investition</t>
  </si>
  <si>
    <t xml:space="preserve">Marketing und Anlaufkosten sind sofort Aufwand</t>
  </si>
  <si>
    <t xml:space="preserve">Ertragsteuersatz (KSt + GewSt)</t>
  </si>
  <si>
    <t xml:space="preserve">Näherung, Verlustvortrag wird berücksichtigt</t>
  </si>
  <si>
    <t xml:space="preserve">Investitionsplan</t>
  </si>
  <si>
    <t xml:space="preserve">Positionen (netto)</t>
  </si>
  <si>
    <t xml:space="preserve">4 Indoor-Padelcourts (Panorama), montiert</t>
  </si>
  <si>
    <t xml:space="preserve">Zielkorridor 26.000–30.000 € je Court — hier konservativ 32.000 €</t>
  </si>
  <si>
    <t xml:space="preserve">Bodenertüchtigung / Ausgleichsschicht ca. 1.000 m²</t>
  </si>
  <si>
    <t xml:space="preserve">entfällt teilweise bei ebenem Industrieboden</t>
  </si>
  <si>
    <t xml:space="preserve">LED-Sportbeleuchtung inkl. Steuerung</t>
  </si>
  <si>
    <t xml:space="preserve">≥ 500 lux, je Court über die Buchung schaltbar</t>
  </si>
  <si>
    <t xml:space="preserve">Planung, Statik, Brandschutzkonzept, Gebühren</t>
  </si>
  <si>
    <t xml:space="preserve">Architekt 12–20 T€, Brandschutz 5–10 T€</t>
  </si>
  <si>
    <t xml:space="preserve">Baulicher Brandschutz</t>
  </si>
  <si>
    <t xml:space="preserve">größter Unsicherheitsposten — objektabhängig</t>
  </si>
  <si>
    <t xml:space="preserve">Umkleiden, Duschen, WC, Sanitärinstallation</t>
  </si>
  <si>
    <t xml:space="preserve">entfällt weitgehend bei vorhandenen Sozialräumen</t>
  </si>
  <si>
    <t xml:space="preserve">Empfang, Lounge, Theke, Möblierung</t>
  </si>
  <si>
    <t xml:space="preserve">Heizung, Lüftung, Elektro-Hauptverteilung</t>
  </si>
  <si>
    <t xml:space="preserve">Anschlussleistung ≥ 60 kW</t>
  </si>
  <si>
    <t xml:space="preserve">Akustikmaßnahmen (Decken- und Wandabsorber)</t>
  </si>
  <si>
    <t xml:space="preserve">Padel ist laut — nicht optional</t>
  </si>
  <si>
    <t xml:space="preserve">IT: Smart Access, Buchung, Kasse, WLAN, Video</t>
  </si>
  <si>
    <t xml:space="preserve">Erstausstattung Verleih, Bälle, Shop</t>
  </si>
  <si>
    <t xml:space="preserve">Branding, Beschilderung, Website, Launch-Marketing</t>
  </si>
  <si>
    <t xml:space="preserve">Bauleitung und Baunebenkosten</t>
  </si>
  <si>
    <t xml:space="preserve">örtlicher Bauleiter oder Architekt</t>
  </si>
  <si>
    <t xml:space="preserve">Zwischensumme</t>
  </si>
  <si>
    <t xml:space="preserve">Sicherheitspuffer</t>
  </si>
  <si>
    <t xml:space="preserve">Branchenempfehlung 15–25 %</t>
  </si>
  <si>
    <t xml:space="preserve">Investition gesamt</t>
  </si>
  <si>
    <t xml:space="preserve">Liquiditätsreserve für die Anlaufphase</t>
  </si>
  <si>
    <t xml:space="preserve">deckt Jahr 1 mit mind. 2 Monatsfixkosten Puffer</t>
  </si>
  <si>
    <t xml:space="preserve">Gesamtkapitalbedarf</t>
  </si>
  <si>
    <t xml:space="preserve">Abgeleitete Größen</t>
  </si>
  <si>
    <t xml:space="preserve">Aktivierungsfähige Investition</t>
  </si>
  <si>
    <t xml:space="preserve">Jahresabschreibung (linear)</t>
  </si>
  <si>
    <t xml:space="preserve">Vorsteuer auf die Investition</t>
  </si>
  <si>
    <t xml:space="preserve">wird erstattet, muss aber 1–3 Monate vorfinanziert werden</t>
  </si>
  <si>
    <t xml:space="preserve">Empfohlener Kontokorrentrahmen</t>
  </si>
  <si>
    <t xml:space="preserve">70 % der Vorsteuer als Zwischenfinanzierung</t>
  </si>
  <si>
    <t xml:space="preserve">Finanzierung und Kapitaldienst</t>
  </si>
  <si>
    <t xml:space="preserve">Mittelherkunft</t>
  </si>
  <si>
    <t xml:space="preserve">Eigenkapital (bar)</t>
  </si>
  <si>
    <t xml:space="preserve">Founding-Member-Vorverkauf</t>
  </si>
  <si>
    <t xml:space="preserve">100 × 499 € Kundenvorkasse, zinsfrei</t>
  </si>
  <si>
    <t xml:space="preserve">KfW ERP-Gründerkredit StartGeld</t>
  </si>
  <si>
    <t xml:space="preserve">max. 125 T€, 80 % Haftungsfreistellung, über die Hausbank</t>
  </si>
  <si>
    <t xml:space="preserve">LfA Startkredit / GuW Bayern</t>
  </si>
  <si>
    <t xml:space="preserve">bis 15 Jahre Laufzeit und Zinsbindung, über die Hausbank</t>
  </si>
  <si>
    <t xml:space="preserve">Mietkauf Courts und Beleuchtung</t>
  </si>
  <si>
    <t xml:space="preserve">Courts dienen als Sicherheit</t>
  </si>
  <si>
    <t xml:space="preserve">Summe Mittelherkunft</t>
  </si>
  <si>
    <t xml:space="preserve">Deckungslücke (muss 0 sein)</t>
  </si>
  <si>
    <t xml:space="preserve">Eigenkapitalquote inkl. Vorverkauf</t>
  </si>
  <si>
    <t xml:space="preserve">Richtwert der Hausbanken: mindestens 20 %</t>
  </si>
  <si>
    <t xml:space="preserve">Darlehensparameter</t>
  </si>
  <si>
    <t xml:space="preserve">Betrag</t>
  </si>
  <si>
    <t xml:space="preserve">Zinssatz</t>
  </si>
  <si>
    <t xml:space="preserve">Laufzeit (J.)</t>
  </si>
  <si>
    <t xml:space="preserve">tilgungsfrei (J.)</t>
  </si>
  <si>
    <t xml:space="preserve">Tilgung linear ab dem ersten tilgungspflichtigen Jahr</t>
  </si>
  <si>
    <t xml:space="preserve">LfA Startkredit / GuW</t>
  </si>
  <si>
    <t xml:space="preserve">Mietkauf Courts</t>
  </si>
  <si>
    <t xml:space="preserve">Kapitaldienst je Darlehen</t>
  </si>
  <si>
    <t xml:space="preserve">Restschuld Jahresanfang</t>
  </si>
  <si>
    <t xml:space="preserve">Zinsen</t>
  </si>
  <si>
    <t xml:space="preserve">Tilgung</t>
  </si>
  <si>
    <t xml:space="preserve">Restschuld Jahresende</t>
  </si>
  <si>
    <t xml:space="preserve">Kapitaldienst gesamt</t>
  </si>
  <si>
    <t xml:space="preserve">Zinsaufwand</t>
  </si>
  <si>
    <t xml:space="preserve">Kapitaldienst</t>
  </si>
  <si>
    <t xml:space="preserve">Umsatzplanung (netto)</t>
  </si>
  <si>
    <t xml:space="preserve">Verkaufte Court-Stunden</t>
  </si>
  <si>
    <t xml:space="preserve">Verkaufte Stunden gesamt</t>
  </si>
  <si>
    <t xml:space="preserve">Gesamtauslastung</t>
  </si>
  <si>
    <t xml:space="preserve">davon Prime-Time-Auslastung</t>
  </si>
  <si>
    <t xml:space="preserve">Courterlöse</t>
  </si>
  <si>
    <t xml:space="preserve">Courterlöse gesamt</t>
  </si>
  <si>
    <t xml:space="preserve">Mischerlös je Court-Stunde</t>
  </si>
  <si>
    <t xml:space="preserve">Courterlöse je Court</t>
  </si>
  <si>
    <t xml:space="preserve">Zusatzerlöse</t>
  </si>
  <si>
    <t xml:space="preserve">Zusatzerlöse gesamt</t>
  </si>
  <si>
    <t xml:space="preserve">UMSATZ GESAMT</t>
  </si>
  <si>
    <t xml:space="preserve">Zusatzerlösquote</t>
  </si>
  <si>
    <t xml:space="preserve">Ziel: 21 % in Jahr 1, 25 % ab Jahr 3</t>
  </si>
  <si>
    <t xml:space="preserve">Kostenplanung (netto)</t>
  </si>
  <si>
    <t xml:space="preserve">Betriebskosten</t>
  </si>
  <si>
    <t xml:space="preserve">Miete inkl. Nebenkosten</t>
  </si>
  <si>
    <t xml:space="preserve">Fläche × (Kaltmiete + Aufschlag + NK) × 12, Steigerung ab Jahr 3</t>
  </si>
  <si>
    <t xml:space="preserve">Energie</t>
  </si>
  <si>
    <t xml:space="preserve">Verbrauchsmaterial</t>
  </si>
  <si>
    <t xml:space="preserve">Wareneinsatz Getränke und Shop</t>
  </si>
  <si>
    <t xml:space="preserve">BETRIEBSKOSTEN GESAMT</t>
  </si>
  <si>
    <t xml:space="preserve">davon fixe Kosten (ohne Wareneinsatz)</t>
  </si>
  <si>
    <t xml:space="preserve">Personalquote am Umsatz</t>
  </si>
  <si>
    <t xml:space="preserve">Mietquote am Umsatz</t>
  </si>
  <si>
    <t xml:space="preserve">Ergebnis- und Liquiditätsrechnung</t>
  </si>
  <si>
    <t xml:space="preserve">Gewinn- und Verlustrechnung</t>
  </si>
  <si>
    <t xml:space="preserve">abzüglich Betriebskosten</t>
  </si>
  <si>
    <t xml:space="preserve">EBITDA</t>
  </si>
  <si>
    <t xml:space="preserve">EBITDA-Marge</t>
  </si>
  <si>
    <t xml:space="preserve">abzüglich Abschreibung</t>
  </si>
  <si>
    <t xml:space="preserve">abzüglich Zinsaufwand</t>
  </si>
  <si>
    <t xml:space="preserve">Ergebnis vor Steuern</t>
  </si>
  <si>
    <t xml:space="preserve">Verlustvortrag Jahresanfang</t>
  </si>
  <si>
    <t xml:space="preserve">Ertragsteuern</t>
  </si>
  <si>
    <t xml:space="preserve">Verlustvortrag Jahresende</t>
  </si>
  <si>
    <t xml:space="preserve">Jahresüberschuss</t>
  </si>
  <si>
    <t xml:space="preserve">Cashflow</t>
  </si>
  <si>
    <t xml:space="preserve">abzüglich Kapitaldienst (Zins + Tilgung)</t>
  </si>
  <si>
    <t xml:space="preserve">abzüglich Ertragsteuern</t>
  </si>
  <si>
    <t xml:space="preserve">Cashflow nach Kapitaldienst</t>
  </si>
  <si>
    <t xml:space="preserve">kumulierter Cashflow</t>
  </si>
  <si>
    <t xml:space="preserve">Liquidität Jahresende</t>
  </si>
  <si>
    <t xml:space="preserve">Warnschwelle: unter 2 Monatsfixkosten</t>
  </si>
  <si>
    <t xml:space="preserve">Liquidität in Monaten Fixkosten</t>
  </si>
  <si>
    <t xml:space="preserve">Monatliche Liquidität im ersten Betriebsjahr</t>
  </si>
  <si>
    <t xml:space="preserve">Die Bank verlangt diese Aufstellung. Saisonfaktoren müssen in Summe 100 % ergeben.</t>
  </si>
  <si>
    <t xml:space="preserve">Jan</t>
  </si>
  <si>
    <t xml:space="preserve">Feb</t>
  </si>
  <si>
    <t xml:space="preserve">Mär</t>
  </si>
  <si>
    <t xml:space="preserve">Apr</t>
  </si>
  <si>
    <t xml:space="preserve">Mai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</si>
  <si>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</si>
  <si>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</si>
  <si>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</si>
  <si>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</si>
  <si>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</si>
  <si>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</si>
  <si>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Dez</t>
  </si>
  <si>
    <t xml:space="preserve">Summe</t>
  </si>
  <si>
    <t xml:space="preserve">Saisonfaktor Umsatz</t>
  </si>
  <si>
    <t xml:space="preserve">Padel ist ein Wintersport-Substitut — Nov–Mär trägt den Umsatz</t>
  </si>
  <si>
    <t xml:space="preserve">Einzahlungen aus Umsatz</t>
  </si>
  <si>
    <t xml:space="preserve">Fixe Betriebskosten</t>
  </si>
  <si>
    <t xml:space="preserve">Wareneinsatz (umsatzabhängig)</t>
  </si>
  <si>
    <t xml:space="preserve">Monatssaldo</t>
  </si>
  <si>
    <t xml:space="preserve">Liquidität Monatsende</t>
  </si>
  <si>
    <t xml:space="preserve">Tiefster Liquiditätsstand im Jahr</t>
  </si>
  <si>
    <t xml:space="preserve">Wird dieser Wert negativ, reicht die Liquiditätsreserve nicht — Reserve auf</t>
  </si>
  <si>
    <t xml:space="preserve">Blatt »Investition« erhöhen oder Kontokorrentrahmen aufstocken.</t>
  </si>
  <si>
    <t xml:space="preserve">Break-even-Analyse (Basis Jahr 3)</t>
  </si>
  <si>
    <t xml:space="preserve">Rechnung</t>
  </si>
  <si>
    <t xml:space="preserve">Fixe Betriebskosten (ohne Wareneinsatz)</t>
  </si>
  <si>
    <t xml:space="preserve">zuzüglich Kapitaldienst</t>
  </si>
  <si>
    <t xml:space="preserve">zu deckender Fixblock</t>
  </si>
  <si>
    <t xml:space="preserve">abzüglich Deckungsbeitrag aus Zusatzerlösen</t>
  </si>
  <si>
    <t xml:space="preserve">notwendiger Courterlös</t>
  </si>
  <si>
    <t xml:space="preserve">notwendige Court-Stunden</t>
  </si>
  <si>
    <t xml:space="preserve">buchbare Court-Stunden pro Jahr</t>
  </si>
  <si>
    <t xml:space="preserve">BREAK-EVEN-AUSLASTUNG</t>
  </si>
  <si>
    <t xml:space="preserve">Plan-Auslastung Jahr 3</t>
  </si>
  <si>
    <t xml:space="preserve">Sicherheitsabstand</t>
  </si>
  <si>
    <t xml:space="preserve">Ist dieser Wert negativ, trägt sich der Betrieb im Plan nicht.</t>
  </si>
  <si>
    <t xml:space="preserve">Einordnung</t>
  </si>
  <si>
    <t xml:space="preserve">Der Ergebnishebel liegt fast vollständig bei der Auslastung, nicht bei den Kosten.</t>
  </si>
  <si>
    <t xml:space="preserve">Zehn Prozent mehr oder weniger Auslastung bewegen das EBITDA um rund 45 T€ —</t>
  </si>
  <si>
    <t xml:space="preserve">mehr als jede denkbare Kosteneinsparung. Unter etwa 40 % Gesamtauslastung</t>
  </si>
  <si>
    <t xml:space="preserve">trägt sich der Betrieb nicht; die Off-Peak-Vermarktung ist deshalb existenziell.</t>
  </si>
  <si>
    <t xml:space="preserve">Sensitivität — Varianten für Jahr 3</t>
  </si>
  <si>
    <t xml:space="preserve">Rechnet unabhängig von den Szenario-Reglern. Blaue Zellen sind die Hebel je Variante.</t>
  </si>
  <si>
    <t xml:space="preserve">Variante</t>
  </si>
  <si>
    <t xml:space="preserve">Auslastung</t>
  </si>
  <si>
    <t xml:space="preserve">Mietaufschlag</t>
  </si>
  <si>
    <t xml:space="preserve">CF n. Kapitaldienst</t>
  </si>
  <si>
    <t xml:space="preserve">Basis</t>
  </si>
  <si>
    <t xml:space="preserve">Auslastung −10 %</t>
  </si>
  <si>
    <t xml:space="preserve">Auslastung +10 %</t>
  </si>
  <si>
    <t xml:space="preserve">Energie +30 %</t>
  </si>
  <si>
    <t xml:space="preserve">Kaltmiete +1,00 €/m²</t>
  </si>
  <si>
    <t xml:space="preserve">Kaltmiete +1,50 €/m²</t>
  </si>
  <si>
    <t xml:space="preserve">Worst Case kombiniert</t>
  </si>
  <si>
    <t xml:space="preserve">Lesart</t>
  </si>
  <si>
    <t xml:space="preserve">Die Basisvariante muss dem EBITDA in Jahr 3 auf dem Blatt »GuV_Cashflow« entsprechen,</t>
  </si>
  <si>
    <t xml:space="preserve">solange die Szenario-Regler auf 100 % / 0 € stehen. Weicht sie ab, sind die Regler verändert.</t>
  </si>
  <si>
    <t xml:space="preserve">Ein negativer Cashflow in einer Variante bedeutet: Liquiditätsreserve wird angegriffen.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</si>
</sst>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"/>
    <numFmt numFmtId="167" formatCode="#,##0.00&quot; €&quot;;\(#,##0.00&quot; €)&quot;;\-"/>
    <numFmt numFmtId="168" formatCode="#,##0&quot; €&quot;;\(#,##0&quot; €)&quot;;\-"/>
    <numFmt numFmtId="169" formatCode="#,##0.0;\(#,##0.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3" t="s">
        <v>3</v>
      </c>
      <c r="B5" s="6" t="s">
        <v>4</v>
      </c>
      <c r="C5" s="6"/>
      <c r="D5" s="6"/>
      <c r="E5" s="6"/>
      <c r="F5" s="6"/>
      <c r="G5" s="6"/>
    </row>
    <row r="6" customFormat="false" ht="15" hidden="false" customHeight="false" outlineLevel="0" collapsed="false">
      <c r="A6" s="3" t="s">
        <v>5</v>
      </c>
      <c r="B6" s="6" t="s">
        <v>6</v>
      </c>
      <c r="C6" s="6"/>
      <c r="D6" s="6"/>
      <c r="E6" s="6"/>
      <c r="F6" s="6"/>
      <c r="G6" s="6"/>
    </row>
    <row r="7" customFormat="false" ht="15" hidden="false" customHeight="false" outlineLevel="0" collapsed="false">
      <c r="A7" s="3" t="s">
        <v>7</v>
      </c>
      <c r="B7" s="6" t="s">
        <v>8</v>
      </c>
      <c r="C7" s="6"/>
      <c r="D7" s="6"/>
      <c r="E7" s="6"/>
      <c r="F7" s="6"/>
      <c r="G7" s="6"/>
    </row>
    <row r="8" customFormat="false" ht="15" hidden="false" customHeight="false" outlineLevel="0" collapsed="false">
      <c r="A8" s="3" t="s">
        <v>9</v>
      </c>
      <c r="B8" s="6" t="s">
        <v>10</v>
      </c>
      <c r="C8" s="6"/>
      <c r="D8" s="6"/>
      <c r="E8" s="6"/>
      <c r="F8" s="6"/>
      <c r="G8" s="6"/>
    </row>
    <row r="9" customFormat="false" ht="15" hidden="false" customHeight="false" outlineLevel="0" collapsed="false">
      <c r="A9" s="3" t="s">
        <v>11</v>
      </c>
      <c r="B9" s="6" t="s">
        <v>12</v>
      </c>
      <c r="C9" s="6"/>
      <c r="D9" s="6"/>
      <c r="E9" s="6"/>
      <c r="F9" s="6"/>
      <c r="G9" s="6"/>
    </row>
    <row r="10" customFormat="false" ht="15" hidden="false" customHeight="false" outlineLevel="0" collapsed="false">
      <c r="A10" s="3" t="s">
        <v>13</v>
      </c>
      <c r="B10" s="6" t="s">
        <v>14</v>
      </c>
      <c r="C10" s="6"/>
      <c r="D10" s="6"/>
      <c r="E10" s="6"/>
      <c r="F10" s="6"/>
      <c r="G10" s="6"/>
    </row>
    <row r="11" customFormat="false" ht="15" hidden="false" customHeight="false" outlineLevel="0" collapsed="false">
      <c r="A11" s="3" t="s">
        <v>15</v>
      </c>
      <c r="B11" s="6" t="s">
        <v>16</v>
      </c>
      <c r="C11" s="6"/>
      <c r="D11" s="6"/>
      <c r="E11" s="6"/>
      <c r="F11" s="6"/>
      <c r="G11" s="6"/>
    </row>
    <row r="13" customFormat="false" ht="15" hidden="false" customHeight="false" outlineLevel="0" collapsed="false">
      <c r="A13" s="4" t="s">
        <v>17</v>
      </c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A14" s="7" t="s">
        <v>18</v>
      </c>
      <c r="B14" s="6" t="s">
        <v>19</v>
      </c>
      <c r="C14" s="6"/>
      <c r="D14" s="6"/>
      <c r="E14" s="6"/>
      <c r="F14" s="6"/>
      <c r="G14" s="6"/>
    </row>
    <row r="15" customFormat="false" ht="15" hidden="false" customHeight="false" outlineLevel="0" collapsed="false">
      <c r="A15" s="7" t="s">
        <v>20</v>
      </c>
      <c r="B15" s="6" t="s">
        <v>21</v>
      </c>
      <c r="C15" s="6"/>
      <c r="D15" s="6"/>
      <c r="E15" s="6"/>
      <c r="F15" s="6"/>
      <c r="G15" s="6"/>
    </row>
    <row r="16" customFormat="false" ht="15" hidden="false" customHeight="false" outlineLevel="0" collapsed="false">
      <c r="A16" s="7" t="s">
        <v>22</v>
      </c>
      <c r="B16" s="6" t="s">
        <v>23</v>
      </c>
      <c r="C16" s="6"/>
      <c r="D16" s="6"/>
      <c r="E16" s="6"/>
      <c r="F16" s="6"/>
      <c r="G16" s="6"/>
    </row>
    <row r="17" customFormat="false" ht="15" hidden="false" customHeight="false" outlineLevel="0" collapsed="false">
      <c r="A17" s="7" t="s">
        <v>24</v>
      </c>
      <c r="B17" s="6" t="s">
        <v>25</v>
      </c>
      <c r="C17" s="6"/>
      <c r="D17" s="6"/>
      <c r="E17" s="6"/>
      <c r="F17" s="6"/>
      <c r="G17" s="6"/>
    </row>
    <row r="18" customFormat="false" ht="15" hidden="false" customHeight="false" outlineLevel="0" collapsed="false">
      <c r="A18" s="7" t="s">
        <v>26</v>
      </c>
      <c r="B18" s="6" t="s">
        <v>27</v>
      </c>
      <c r="C18" s="6"/>
      <c r="D18" s="6"/>
      <c r="E18" s="6"/>
      <c r="F18" s="6"/>
      <c r="G18" s="6"/>
    </row>
    <row r="19" customFormat="false" ht="15" hidden="false" customHeight="false" outlineLevel="0" collapsed="false">
      <c r="A19" s="7" t="s">
        <v>28</v>
      </c>
      <c r="B19" s="6" t="s">
        <v>29</v>
      </c>
      <c r="C19" s="6"/>
      <c r="D19" s="6"/>
      <c r="E19" s="6"/>
      <c r="F19" s="6"/>
      <c r="G19" s="6"/>
    </row>
    <row r="20" customFormat="false" ht="15" hidden="false" customHeight="false" outlineLevel="0" collapsed="false">
      <c r="A20" s="7" t="s">
        <v>30</v>
      </c>
      <c r="B20" s="6" t="s">
        <v>31</v>
      </c>
      <c r="C20" s="6"/>
      <c r="D20" s="6"/>
      <c r="E20" s="6"/>
      <c r="F20" s="6"/>
      <c r="G20" s="6"/>
    </row>
    <row r="21" customFormat="false" ht="15" hidden="false" customHeight="false" outlineLevel="0" collapsed="false">
      <c r="A21" s="7" t="s">
        <v>32</v>
      </c>
      <c r="B21" s="6" t="s">
        <v>33</v>
      </c>
      <c r="C21" s="6"/>
      <c r="D21" s="6"/>
      <c r="E21" s="6"/>
      <c r="F21" s="6"/>
      <c r="G21" s="6"/>
    </row>
    <row r="22" customFormat="false" ht="15" hidden="false" customHeight="false" outlineLevel="0" collapsed="false">
      <c r="A22" s="7" t="s">
        <v>34</v>
      </c>
      <c r="B22" s="6" t="s">
        <v>35</v>
      </c>
      <c r="C22" s="6"/>
      <c r="D22" s="6"/>
      <c r="E22" s="6"/>
      <c r="F22" s="6"/>
      <c r="G22" s="6"/>
    </row>
    <row r="24" customFormat="false" ht="15" hidden="false" customHeight="false" outlineLevel="0" collapsed="false">
      <c r="A24" s="4" t="s">
        <v>36</v>
      </c>
      <c r="B24" s="5"/>
      <c r="C24" s="5"/>
      <c r="D24" s="5"/>
      <c r="E24" s="5"/>
      <c r="F24" s="5"/>
      <c r="G24" s="5"/>
    </row>
    <row r="25" customFormat="false" ht="15" hidden="false" customHeight="false" outlineLevel="0" collapsed="false">
      <c r="A25" s="8" t="s">
        <v>37</v>
      </c>
      <c r="B25" s="3" t="s">
        <v>38</v>
      </c>
    </row>
    <row r="26" customFormat="false" ht="15" hidden="false" customHeight="false" outlineLevel="0" collapsed="false">
      <c r="A26" s="9" t="s">
        <v>37</v>
      </c>
      <c r="B26" s="3" t="s">
        <v>39</v>
      </c>
    </row>
    <row r="27" customFormat="false" ht="15" hidden="false" customHeight="false" outlineLevel="0" collapsed="false">
      <c r="A27" s="10" t="s">
        <v>37</v>
      </c>
      <c r="B27" s="3" t="s">
        <v>40</v>
      </c>
    </row>
    <row r="28" customFormat="false" ht="15" hidden="false" customHeight="false" outlineLevel="0" collapsed="false">
      <c r="A28" s="11" t="s">
        <v>37</v>
      </c>
      <c r="B28" s="3" t="s">
        <v>41</v>
      </c>
    </row>
    <row r="30" customFormat="false" ht="15" hidden="false" customHeight="false" outlineLevel="0" collapsed="false">
      <c r="A30" s="4" t="s">
        <v>42</v>
      </c>
      <c r="B30" s="5"/>
      <c r="C30" s="5"/>
      <c r="D30" s="5"/>
      <c r="E30" s="5"/>
      <c r="F30" s="5"/>
      <c r="G30" s="5"/>
    </row>
    <row r="31" customFormat="false" ht="15" hidden="false" customHeight="false" outlineLevel="0" collapsed="false">
      <c r="A31" s="6" t="s">
        <v>43</v>
      </c>
      <c r="B31" s="6"/>
      <c r="C31" s="6"/>
      <c r="D31" s="6"/>
      <c r="E31" s="6"/>
      <c r="F31" s="6"/>
      <c r="G31" s="6"/>
    </row>
    <row r="32" customFormat="false" ht="15" hidden="false" customHeight="false" outlineLevel="0" collapsed="false">
      <c r="A32" s="6" t="s">
        <v>44</v>
      </c>
      <c r="B32" s="6"/>
      <c r="C32" s="6"/>
      <c r="D32" s="6"/>
      <c r="E32" s="6"/>
      <c r="F32" s="6"/>
      <c r="G32" s="6"/>
    </row>
    <row r="33" customFormat="false" ht="15" hidden="false" customHeight="false" outlineLevel="0" collapsed="false">
      <c r="A33" s="6" t="s">
        <v>45</v>
      </c>
      <c r="B33" s="6"/>
      <c r="C33" s="6"/>
      <c r="D33" s="6"/>
      <c r="E33" s="6"/>
      <c r="F33" s="6"/>
      <c r="G33" s="6"/>
    </row>
    <row r="34" customFormat="false" ht="15" hidden="false" customHeight="false" outlineLevel="0" collapsed="false">
      <c r="A34" s="6" t="s">
        <v>46</v>
      </c>
      <c r="B34" s="6"/>
      <c r="C34" s="6"/>
      <c r="D34" s="6"/>
      <c r="E34" s="6"/>
      <c r="F34" s="6"/>
      <c r="G34" s="6"/>
    </row>
  </sheetData>
  <mergeCells count="20">
    <mergeCell ref="B5:G5"/>
    <mergeCell ref="B6:G6"/>
    <mergeCell ref="B7:G7"/>
    <mergeCell ref="B8:G8"/>
    <mergeCell ref="B9:G9"/>
    <mergeCell ref="B10:G10"/>
    <mergeCell ref="B11:G11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A31:G31"/>
    <mergeCell ref="A32:G32"/>
    <mergeCell ref="A33:G33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4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47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4" t="s">
        <v>48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3" t="s">
        <v>49</v>
      </c>
      <c r="B4" s="12" t="n">
        <v>4</v>
      </c>
      <c r="G4" s="3" t="s">
        <v>50</v>
      </c>
    </row>
    <row r="5" customFormat="false" ht="15" hidden="false" customHeight="false" outlineLevel="0" collapsed="false">
      <c r="A5" s="3" t="s">
        <v>51</v>
      </c>
      <c r="B5" s="12" t="n">
        <v>16</v>
      </c>
      <c r="G5" s="3" t="s">
        <v>52</v>
      </c>
    </row>
    <row r="6" customFormat="false" ht="15" hidden="false" customHeight="false" outlineLevel="0" collapsed="false">
      <c r="A6" s="3" t="s">
        <v>53</v>
      </c>
      <c r="B6" s="12" t="n">
        <v>361</v>
      </c>
      <c r="G6" s="3" t="s">
        <v>54</v>
      </c>
    </row>
    <row r="7" customFormat="false" ht="15" hidden="false" customHeight="false" outlineLevel="0" collapsed="false">
      <c r="A7" s="3" t="s">
        <v>55</v>
      </c>
      <c r="B7" s="12" t="n">
        <v>50</v>
      </c>
      <c r="G7" s="3" t="s">
        <v>56</v>
      </c>
    </row>
    <row r="8" customFormat="false" ht="15" hidden="false" customHeight="false" outlineLevel="0" collapsed="false">
      <c r="A8" s="3" t="s">
        <v>57</v>
      </c>
      <c r="B8" s="12" t="n">
        <v>45</v>
      </c>
      <c r="G8" s="3" t="s">
        <v>58</v>
      </c>
    </row>
    <row r="9" customFormat="false" ht="15" hidden="false" customHeight="false" outlineLevel="0" collapsed="false">
      <c r="A9" s="3" t="s">
        <v>59</v>
      </c>
      <c r="B9" s="12" t="n">
        <v>46</v>
      </c>
      <c r="G9" s="3" t="s">
        <v>60</v>
      </c>
    </row>
    <row r="10" customFormat="false" ht="15" hidden="false" customHeight="false" outlineLevel="0" collapsed="false">
      <c r="A10" s="3" t="s">
        <v>61</v>
      </c>
      <c r="B10" s="12" t="n">
        <v>21</v>
      </c>
      <c r="G10" s="3" t="s">
        <v>62</v>
      </c>
    </row>
    <row r="11" customFormat="false" ht="15" hidden="false" customHeight="false" outlineLevel="0" collapsed="false">
      <c r="A11" s="3" t="s">
        <v>63</v>
      </c>
      <c r="B11" s="13" t="n">
        <f aca="false">B8+B9+B10</f>
        <v>112</v>
      </c>
      <c r="G11" s="3" t="s">
        <v>64</v>
      </c>
    </row>
    <row r="12" customFormat="false" ht="15" hidden="false" customHeight="false" outlineLevel="0" collapsed="false">
      <c r="A12" s="7" t="s">
        <v>65</v>
      </c>
      <c r="B12" s="14" t="n">
        <f aca="false">B4*B5*B6</f>
        <v>23104</v>
      </c>
      <c r="G12" s="3" t="s">
        <v>66</v>
      </c>
    </row>
    <row r="14" customFormat="false" ht="15" hidden="false" customHeight="false" outlineLevel="0" collapsed="false">
      <c r="A14" s="4" t="s">
        <v>67</v>
      </c>
      <c r="B14" s="5"/>
      <c r="C14" s="5"/>
      <c r="D14" s="5"/>
      <c r="E14" s="5"/>
      <c r="F14" s="5"/>
      <c r="G14" s="5"/>
    </row>
    <row r="15" customFormat="false" ht="15" hidden="false" customHeight="false" outlineLevel="0" collapsed="false">
      <c r="A15" s="3" t="s">
        <v>68</v>
      </c>
      <c r="B15" s="15" t="n">
        <v>0.19</v>
      </c>
      <c r="G15" s="3" t="s">
        <v>69</v>
      </c>
    </row>
    <row r="17" customFormat="false" ht="15" hidden="false" customHeight="false" outlineLevel="0" collapsed="false">
      <c r="B17" s="16" t="s">
        <v>70</v>
      </c>
      <c r="C17" s="16" t="s">
        <v>71</v>
      </c>
    </row>
    <row r="18" customFormat="false" ht="15" hidden="false" customHeight="false" outlineLevel="0" collapsed="false">
      <c r="A18" s="3" t="s">
        <v>72</v>
      </c>
      <c r="B18" s="17" t="n">
        <v>44</v>
      </c>
      <c r="C18" s="18" t="n">
        <f aca="false">B18/(1+$B$15)</f>
        <v>36.9747899159664</v>
      </c>
      <c r="G18" s="3" t="s">
        <v>73</v>
      </c>
    </row>
    <row r="19" customFormat="false" ht="15" hidden="false" customHeight="false" outlineLevel="0" collapsed="false">
      <c r="A19" s="3" t="s">
        <v>74</v>
      </c>
      <c r="B19" s="19" t="n">
        <v>30</v>
      </c>
      <c r="C19" s="18" t="n">
        <f aca="false">B19/(1+$B$15)</f>
        <v>25.2100840336134</v>
      </c>
    </row>
    <row r="20" customFormat="false" ht="15" hidden="false" customHeight="false" outlineLevel="0" collapsed="false">
      <c r="A20" s="3" t="s">
        <v>75</v>
      </c>
      <c r="B20" s="19" t="n">
        <v>22</v>
      </c>
      <c r="C20" s="18" t="n">
        <f aca="false">B20/(1+$B$15)</f>
        <v>18.4873949579832</v>
      </c>
    </row>
    <row r="22" customFormat="false" ht="15" hidden="false" customHeight="false" outlineLevel="0" collapsed="false">
      <c r="A22" s="4" t="s">
        <v>76</v>
      </c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B23" s="20" t="s">
        <v>77</v>
      </c>
      <c r="C23" s="20" t="s">
        <v>78</v>
      </c>
      <c r="D23" s="20" t="s">
        <v>79</v>
      </c>
      <c r="E23" s="20" t="s">
        <v>80</v>
      </c>
      <c r="F23" s="20" t="s">
        <v>81</v>
      </c>
    </row>
    <row r="24" customFormat="false" ht="15" hidden="false" customHeight="false" outlineLevel="0" collapsed="false">
      <c r="A24" s="3" t="s">
        <v>72</v>
      </c>
      <c r="B24" s="21" t="n">
        <v>0.65</v>
      </c>
      <c r="C24" s="21" t="n">
        <v>0.72</v>
      </c>
      <c r="D24" s="21" t="n">
        <v>0.78</v>
      </c>
      <c r="E24" s="21" t="n">
        <v>0.8</v>
      </c>
      <c r="F24" s="21" t="n">
        <v>0.81</v>
      </c>
      <c r="G24" s="3" t="s">
        <v>82</v>
      </c>
    </row>
    <row r="25" customFormat="false" ht="15" hidden="false" customHeight="false" outlineLevel="0" collapsed="false">
      <c r="A25" s="3" t="s">
        <v>74</v>
      </c>
      <c r="B25" s="21" t="n">
        <v>0.25</v>
      </c>
      <c r="C25" s="21" t="n">
        <v>0.33</v>
      </c>
      <c r="D25" s="21" t="n">
        <v>0.4</v>
      </c>
      <c r="E25" s="21" t="n">
        <v>0.42</v>
      </c>
      <c r="F25" s="21" t="n">
        <v>0.43</v>
      </c>
    </row>
    <row r="26" customFormat="false" ht="15" hidden="false" customHeight="false" outlineLevel="0" collapsed="false">
      <c r="A26" s="3" t="s">
        <v>75</v>
      </c>
      <c r="B26" s="15" t="n">
        <v>0.15</v>
      </c>
      <c r="C26" s="15" t="n">
        <v>0.2</v>
      </c>
      <c r="D26" s="15" t="n">
        <v>0.25</v>
      </c>
      <c r="E26" s="15" t="n">
        <v>0.26</v>
      </c>
      <c r="F26" s="15" t="n">
        <v>0.27</v>
      </c>
    </row>
    <row r="28" customFormat="false" ht="15" hidden="false" customHeight="false" outlineLevel="0" collapsed="false">
      <c r="A28" s="4" t="s">
        <v>83</v>
      </c>
      <c r="B28" s="5"/>
      <c r="C28" s="5"/>
      <c r="D28" s="5"/>
      <c r="E28" s="5"/>
      <c r="F28" s="5"/>
      <c r="G28" s="5"/>
    </row>
    <row r="29" customFormat="false" ht="15" hidden="false" customHeight="false" outlineLevel="0" collapsed="false">
      <c r="B29" s="20" t="s">
        <v>77</v>
      </c>
      <c r="C29" s="20" t="s">
        <v>78</v>
      </c>
      <c r="D29" s="20" t="s">
        <v>79</v>
      </c>
      <c r="E29" s="20" t="s">
        <v>80</v>
      </c>
      <c r="F29" s="20" t="s">
        <v>81</v>
      </c>
    </row>
    <row r="30" customFormat="false" ht="15" hidden="false" customHeight="false" outlineLevel="0" collapsed="false">
      <c r="A30" s="3" t="s">
        <v>84</v>
      </c>
      <c r="B30" s="22" t="n">
        <v>30000</v>
      </c>
      <c r="C30" s="22" t="n">
        <v>38000</v>
      </c>
      <c r="D30" s="22" t="n">
        <v>45000</v>
      </c>
      <c r="E30" s="22" t="n">
        <v>48000</v>
      </c>
      <c r="F30" s="22" t="n">
        <v>50000</v>
      </c>
    </row>
    <row r="31" customFormat="false" ht="15" hidden="false" customHeight="false" outlineLevel="0" collapsed="false">
      <c r="A31" s="3" t="s">
        <v>85</v>
      </c>
      <c r="B31" s="22" t="n">
        <v>14000</v>
      </c>
      <c r="C31" s="22" t="n">
        <v>20000</v>
      </c>
      <c r="D31" s="22" t="n">
        <v>25000</v>
      </c>
      <c r="E31" s="22" t="n">
        <v>27000</v>
      </c>
      <c r="F31" s="22" t="n">
        <v>28000</v>
      </c>
    </row>
    <row r="32" customFormat="false" ht="15" hidden="false" customHeight="false" outlineLevel="0" collapsed="false">
      <c r="A32" s="3" t="s">
        <v>86</v>
      </c>
      <c r="B32" s="22" t="n">
        <v>10000</v>
      </c>
      <c r="C32" s="22" t="n">
        <v>18000</v>
      </c>
      <c r="D32" s="22" t="n">
        <v>24000</v>
      </c>
      <c r="E32" s="22" t="n">
        <v>25000</v>
      </c>
      <c r="F32" s="22" t="n">
        <v>26000</v>
      </c>
    </row>
    <row r="33" customFormat="false" ht="15" hidden="false" customHeight="false" outlineLevel="0" collapsed="false">
      <c r="A33" s="3" t="s">
        <v>87</v>
      </c>
      <c r="B33" s="22" t="n">
        <v>8000</v>
      </c>
      <c r="C33" s="22" t="n">
        <v>12000</v>
      </c>
      <c r="D33" s="22" t="n">
        <v>16000</v>
      </c>
      <c r="E33" s="22" t="n">
        <v>17000</v>
      </c>
      <c r="F33" s="22" t="n">
        <v>18000</v>
      </c>
    </row>
    <row r="34" customFormat="false" ht="15" hidden="false" customHeight="false" outlineLevel="0" collapsed="false">
      <c r="A34" s="3" t="s">
        <v>88</v>
      </c>
      <c r="B34" s="22" t="n">
        <v>13000</v>
      </c>
      <c r="C34" s="22" t="n">
        <v>12000</v>
      </c>
      <c r="D34" s="22" t="n">
        <v>12000</v>
      </c>
      <c r="E34" s="22" t="n">
        <v>13000</v>
      </c>
      <c r="F34" s="22" t="n">
        <v>14000</v>
      </c>
    </row>
    <row r="35" customFormat="false" ht="15" hidden="false" customHeight="false" outlineLevel="0" collapsed="false">
      <c r="A35" s="7" t="s">
        <v>89</v>
      </c>
      <c r="B35" s="23" t="n">
        <f aca="false">SUM(B30:B34)</f>
        <v>75000</v>
      </c>
      <c r="C35" s="23" t="n">
        <f aca="false">SUM(C30:C34)</f>
        <v>100000</v>
      </c>
      <c r="D35" s="23" t="n">
        <f aca="false">SUM(D30:D34)</f>
        <v>122000</v>
      </c>
      <c r="E35" s="23" t="n">
        <f aca="false">SUM(E30:E34)</f>
        <v>130000</v>
      </c>
      <c r="F35" s="23" t="n">
        <f aca="false">SUM(F30:F34)</f>
        <v>136000</v>
      </c>
    </row>
    <row r="37" customFormat="false" ht="15" hidden="false" customHeight="false" outlineLevel="0" collapsed="false">
      <c r="A37" s="4" t="s">
        <v>90</v>
      </c>
      <c r="B37" s="5"/>
      <c r="C37" s="5"/>
      <c r="D37" s="5"/>
      <c r="E37" s="5"/>
      <c r="F37" s="5"/>
      <c r="G37" s="5"/>
    </row>
    <row r="38" customFormat="false" ht="15" hidden="false" customHeight="false" outlineLevel="0" collapsed="false">
      <c r="A38" s="3" t="s">
        <v>91</v>
      </c>
      <c r="B38" s="12" t="n">
        <v>1500</v>
      </c>
      <c r="G38" s="3" t="s">
        <v>92</v>
      </c>
    </row>
    <row r="39" customFormat="false" ht="15" hidden="false" customHeight="false" outlineLevel="0" collapsed="false">
      <c r="A39" s="3" t="s">
        <v>93</v>
      </c>
      <c r="B39" s="17" t="n">
        <v>5.5</v>
      </c>
      <c r="G39" s="3" t="s">
        <v>94</v>
      </c>
    </row>
    <row r="40" customFormat="false" ht="15" hidden="false" customHeight="false" outlineLevel="0" collapsed="false">
      <c r="A40" s="3" t="s">
        <v>95</v>
      </c>
      <c r="B40" s="19" t="n">
        <v>1.2</v>
      </c>
      <c r="G40" s="3" t="s">
        <v>96</v>
      </c>
    </row>
    <row r="41" customFormat="false" ht="15" hidden="false" customHeight="false" outlineLevel="0" collapsed="false">
      <c r="A41" s="3" t="s">
        <v>97</v>
      </c>
      <c r="B41" s="12" t="n">
        <v>1</v>
      </c>
      <c r="G41" s="3" t="s">
        <v>98</v>
      </c>
    </row>
    <row r="42" customFormat="false" ht="15" hidden="false" customHeight="false" outlineLevel="0" collapsed="false">
      <c r="A42" s="3" t="s">
        <v>99</v>
      </c>
      <c r="B42" s="15" t="n">
        <v>0.015</v>
      </c>
      <c r="G42" s="3" t="s">
        <v>100</v>
      </c>
    </row>
    <row r="44" customFormat="false" ht="15" hidden="false" customHeight="false" outlineLevel="0" collapsed="false">
      <c r="B44" s="20" t="s">
        <v>77</v>
      </c>
      <c r="C44" s="20" t="s">
        <v>78</v>
      </c>
      <c r="D44" s="20" t="s">
        <v>79</v>
      </c>
      <c r="E44" s="20" t="s">
        <v>80</v>
      </c>
      <c r="F44" s="20" t="s">
        <v>81</v>
      </c>
    </row>
    <row r="45" customFormat="false" ht="15" hidden="false" customHeight="false" outlineLevel="0" collapsed="false">
      <c r="A45" s="3" t="s">
        <v>101</v>
      </c>
      <c r="B45" s="22" t="n">
        <v>45000</v>
      </c>
      <c r="C45" s="22" t="n">
        <v>47000</v>
      </c>
      <c r="D45" s="22" t="n">
        <v>48000</v>
      </c>
      <c r="E45" s="22" t="n">
        <v>49000</v>
      </c>
      <c r="F45" s="22" t="n">
        <v>50000</v>
      </c>
    </row>
    <row r="46" customFormat="false" ht="15" hidden="false" customHeight="false" outlineLevel="0" collapsed="false">
      <c r="A46" s="3" t="s">
        <v>102</v>
      </c>
      <c r="B46" s="24" t="n">
        <v>92000</v>
      </c>
      <c r="C46" s="24" t="n">
        <v>112000</v>
      </c>
      <c r="D46" s="24" t="n">
        <v>126000</v>
      </c>
      <c r="E46" s="24" t="n">
        <v>132000</v>
      </c>
      <c r="F46" s="24" t="n">
        <v>136000</v>
      </c>
      <c r="G46" s="3" t="s">
        <v>103</v>
      </c>
    </row>
    <row r="47" customFormat="false" ht="15" hidden="false" customHeight="false" outlineLevel="0" collapsed="false">
      <c r="A47" s="3" t="s">
        <v>104</v>
      </c>
      <c r="B47" s="22" t="n">
        <v>12000</v>
      </c>
      <c r="C47" s="22" t="n">
        <v>14000</v>
      </c>
      <c r="D47" s="22" t="n">
        <v>16000</v>
      </c>
      <c r="E47" s="22" t="n">
        <v>17000</v>
      </c>
      <c r="F47" s="22" t="n">
        <v>18000</v>
      </c>
    </row>
    <row r="48" customFormat="false" ht="15" hidden="false" customHeight="false" outlineLevel="0" collapsed="false">
      <c r="A48" s="3" t="s">
        <v>105</v>
      </c>
      <c r="B48" s="22" t="n">
        <v>13000</v>
      </c>
      <c r="C48" s="22" t="n">
        <v>15000</v>
      </c>
      <c r="D48" s="22" t="n">
        <v>17000</v>
      </c>
      <c r="E48" s="22" t="n">
        <v>18000</v>
      </c>
      <c r="F48" s="22" t="n">
        <v>18000</v>
      </c>
    </row>
    <row r="49" customFormat="false" ht="15" hidden="false" customHeight="false" outlineLevel="0" collapsed="false">
      <c r="A49" s="3" t="s">
        <v>106</v>
      </c>
      <c r="B49" s="22" t="n">
        <v>6000</v>
      </c>
      <c r="C49" s="22" t="n">
        <v>6000</v>
      </c>
      <c r="D49" s="22" t="n">
        <v>6000</v>
      </c>
      <c r="E49" s="22" t="n">
        <v>6000</v>
      </c>
      <c r="F49" s="22" t="n">
        <v>7000</v>
      </c>
    </row>
    <row r="50" customFormat="false" ht="15" hidden="false" customHeight="false" outlineLevel="0" collapsed="false">
      <c r="A50" s="3" t="s">
        <v>107</v>
      </c>
      <c r="B50" s="22" t="n">
        <v>20000</v>
      </c>
      <c r="C50" s="22" t="n">
        <v>15000</v>
      </c>
      <c r="D50" s="22" t="n">
        <v>14000</v>
      </c>
      <c r="E50" s="22" t="n">
        <v>14000</v>
      </c>
      <c r="F50" s="22" t="n">
        <v>14000</v>
      </c>
    </row>
    <row r="51" customFormat="false" ht="15" hidden="false" customHeight="false" outlineLevel="0" collapsed="false">
      <c r="A51" s="3" t="s">
        <v>108</v>
      </c>
      <c r="B51" s="22" t="n">
        <v>12000</v>
      </c>
      <c r="C51" s="22" t="n">
        <v>12000</v>
      </c>
      <c r="D51" s="22" t="n">
        <v>13000</v>
      </c>
      <c r="E51" s="22" t="n">
        <v>13000</v>
      </c>
      <c r="F51" s="22" t="n">
        <v>13000</v>
      </c>
    </row>
    <row r="52" customFormat="false" ht="15" hidden="false" customHeight="false" outlineLevel="0" collapsed="false">
      <c r="A52" s="3" t="s">
        <v>109</v>
      </c>
      <c r="B52" s="22" t="n">
        <v>6000</v>
      </c>
      <c r="C52" s="22" t="n">
        <v>7000</v>
      </c>
      <c r="D52" s="22" t="n">
        <v>8000</v>
      </c>
      <c r="E52" s="22" t="n">
        <v>8000</v>
      </c>
      <c r="F52" s="22" t="n">
        <v>8000</v>
      </c>
    </row>
    <row r="53" customFormat="false" ht="15" hidden="false" customHeight="false" outlineLevel="0" collapsed="false">
      <c r="A53" s="3" t="s">
        <v>110</v>
      </c>
      <c r="B53" s="15" t="n">
        <v>0.52</v>
      </c>
      <c r="G53" s="3" t="s">
        <v>111</v>
      </c>
    </row>
    <row r="55" customFormat="false" ht="15" hidden="false" customHeight="false" outlineLevel="0" collapsed="false">
      <c r="A55" s="4" t="s">
        <v>112</v>
      </c>
      <c r="B55" s="5"/>
      <c r="C55" s="5"/>
      <c r="D55" s="5"/>
      <c r="E55" s="5"/>
      <c r="F55" s="5"/>
      <c r="G55" s="5"/>
    </row>
    <row r="56" customFormat="false" ht="15" hidden="false" customHeight="false" outlineLevel="0" collapsed="false">
      <c r="A56" s="3" t="s">
        <v>113</v>
      </c>
      <c r="B56" s="21" t="n">
        <v>1</v>
      </c>
      <c r="G56" s="3" t="s">
        <v>114</v>
      </c>
    </row>
    <row r="57" customFormat="false" ht="15" hidden="false" customHeight="false" outlineLevel="0" collapsed="false">
      <c r="A57" s="3" t="s">
        <v>115</v>
      </c>
      <c r="B57" s="21" t="n">
        <v>1</v>
      </c>
      <c r="G57" s="3" t="s">
        <v>116</v>
      </c>
    </row>
    <row r="58" customFormat="false" ht="15" hidden="false" customHeight="false" outlineLevel="0" collapsed="false">
      <c r="A58" s="3" t="s">
        <v>117</v>
      </c>
      <c r="B58" s="21" t="n">
        <v>1</v>
      </c>
      <c r="G58" s="3" t="s">
        <v>118</v>
      </c>
    </row>
    <row r="59" customFormat="false" ht="15" hidden="false" customHeight="false" outlineLevel="0" collapsed="false">
      <c r="A59" s="3" t="s">
        <v>119</v>
      </c>
      <c r="B59" s="17" t="n">
        <v>0</v>
      </c>
      <c r="G59" s="3" t="s">
        <v>120</v>
      </c>
    </row>
    <row r="61" customFormat="false" ht="15" hidden="false" customHeight="false" outlineLevel="0" collapsed="false">
      <c r="A61" s="4" t="s">
        <v>121</v>
      </c>
      <c r="B61" s="5"/>
      <c r="C61" s="5"/>
      <c r="D61" s="5"/>
      <c r="E61" s="5"/>
      <c r="F61" s="5"/>
      <c r="G61" s="5"/>
    </row>
    <row r="62" customFormat="false" ht="15" hidden="false" customHeight="false" outlineLevel="0" collapsed="false">
      <c r="A62" s="3" t="s">
        <v>122</v>
      </c>
      <c r="B62" s="12" t="n">
        <v>10</v>
      </c>
      <c r="G62" s="3" t="s">
        <v>123</v>
      </c>
    </row>
    <row r="63" customFormat="false" ht="15" hidden="false" customHeight="false" outlineLevel="0" collapsed="false">
      <c r="A63" s="3" t="s">
        <v>124</v>
      </c>
      <c r="B63" s="15" t="n">
        <v>0.87</v>
      </c>
      <c r="G63" s="3" t="s">
        <v>125</v>
      </c>
    </row>
    <row r="64" customFormat="false" ht="15" hidden="false" customHeight="false" outlineLevel="0" collapsed="false">
      <c r="A64" s="3" t="s">
        <v>126</v>
      </c>
      <c r="B64" s="15" t="n">
        <v>0.3</v>
      </c>
      <c r="G64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128</v>
      </c>
      <c r="B1" s="2"/>
      <c r="C1" s="2"/>
      <c r="D1" s="2"/>
    </row>
    <row r="3" customFormat="false" ht="15" hidden="false" customHeight="false" outlineLevel="0" collapsed="false">
      <c r="A3" s="4" t="s">
        <v>129</v>
      </c>
      <c r="B3" s="5"/>
      <c r="C3" s="5"/>
      <c r="D3" s="5"/>
    </row>
    <row r="4" customFormat="false" ht="15" hidden="false" customHeight="false" outlineLevel="0" collapsed="false">
      <c r="A4" s="3" t="s">
        <v>130</v>
      </c>
      <c r="B4" s="22" t="n">
        <v>128000</v>
      </c>
      <c r="D4" s="3" t="s">
        <v>131</v>
      </c>
    </row>
    <row r="5" customFormat="false" ht="15" hidden="false" customHeight="false" outlineLevel="0" collapsed="false">
      <c r="A5" s="3" t="s">
        <v>132</v>
      </c>
      <c r="B5" s="22" t="n">
        <v>35000</v>
      </c>
      <c r="D5" s="3" t="s">
        <v>133</v>
      </c>
    </row>
    <row r="6" customFormat="false" ht="15" hidden="false" customHeight="false" outlineLevel="0" collapsed="false">
      <c r="A6" s="3" t="s">
        <v>134</v>
      </c>
      <c r="B6" s="22" t="n">
        <v>30000</v>
      </c>
      <c r="D6" s="3" t="s">
        <v>135</v>
      </c>
    </row>
    <row r="7" customFormat="false" ht="15" hidden="false" customHeight="false" outlineLevel="0" collapsed="false">
      <c r="A7" s="3" t="s">
        <v>136</v>
      </c>
      <c r="B7" s="22" t="n">
        <v>32000</v>
      </c>
      <c r="D7" s="3" t="s">
        <v>137</v>
      </c>
    </row>
    <row r="8" customFormat="false" ht="15" hidden="false" customHeight="false" outlineLevel="0" collapsed="false">
      <c r="A8" s="3" t="s">
        <v>138</v>
      </c>
      <c r="B8" s="22" t="n">
        <v>40000</v>
      </c>
      <c r="D8" s="3" t="s">
        <v>139</v>
      </c>
    </row>
    <row r="9" customFormat="false" ht="15" hidden="false" customHeight="false" outlineLevel="0" collapsed="false">
      <c r="A9" s="3" t="s">
        <v>140</v>
      </c>
      <c r="B9" s="22" t="n">
        <v>70000</v>
      </c>
      <c r="D9" s="3" t="s">
        <v>141</v>
      </c>
    </row>
    <row r="10" customFormat="false" ht="15" hidden="false" customHeight="false" outlineLevel="0" collapsed="false">
      <c r="A10" s="3" t="s">
        <v>142</v>
      </c>
      <c r="B10" s="22" t="n">
        <v>35000</v>
      </c>
      <c r="D10" s="3"/>
    </row>
    <row r="11" customFormat="false" ht="15" hidden="false" customHeight="false" outlineLevel="0" collapsed="false">
      <c r="A11" s="3" t="s">
        <v>143</v>
      </c>
      <c r="B11" s="22" t="n">
        <v>40000</v>
      </c>
      <c r="D11" s="3" t="s">
        <v>144</v>
      </c>
    </row>
    <row r="12" customFormat="false" ht="15" hidden="false" customHeight="false" outlineLevel="0" collapsed="false">
      <c r="A12" s="3" t="s">
        <v>145</v>
      </c>
      <c r="B12" s="22" t="n">
        <v>15000</v>
      </c>
      <c r="D12" s="3" t="s">
        <v>146</v>
      </c>
    </row>
    <row r="13" customFormat="false" ht="15" hidden="false" customHeight="false" outlineLevel="0" collapsed="false">
      <c r="A13" s="3" t="s">
        <v>147</v>
      </c>
      <c r="B13" s="22" t="n">
        <v>25000</v>
      </c>
      <c r="D13" s="3"/>
    </row>
    <row r="14" customFormat="false" ht="15" hidden="false" customHeight="false" outlineLevel="0" collapsed="false">
      <c r="A14" s="3" t="s">
        <v>148</v>
      </c>
      <c r="B14" s="22" t="n">
        <v>12000</v>
      </c>
      <c r="D14" s="3"/>
    </row>
    <row r="15" customFormat="false" ht="15" hidden="false" customHeight="false" outlineLevel="0" collapsed="false">
      <c r="A15" s="3" t="s">
        <v>149</v>
      </c>
      <c r="B15" s="22" t="n">
        <v>25000</v>
      </c>
      <c r="D15" s="3"/>
    </row>
    <row r="16" customFormat="false" ht="15" hidden="false" customHeight="false" outlineLevel="0" collapsed="false">
      <c r="A16" s="3" t="s">
        <v>150</v>
      </c>
      <c r="B16" s="22" t="n">
        <v>15000</v>
      </c>
      <c r="D16" s="3" t="s">
        <v>151</v>
      </c>
    </row>
    <row r="17" customFormat="false" ht="15" hidden="false" customHeight="false" outlineLevel="0" collapsed="false">
      <c r="A17" s="7" t="s">
        <v>152</v>
      </c>
      <c r="B17" s="23" t="n">
        <f aca="false">SUM(B4:B16)</f>
        <v>502000</v>
      </c>
    </row>
    <row r="18" customFormat="false" ht="15" hidden="false" customHeight="false" outlineLevel="0" collapsed="false">
      <c r="A18" s="3" t="s">
        <v>153</v>
      </c>
      <c r="B18" s="15" t="n">
        <v>0.15</v>
      </c>
      <c r="D18" s="3" t="s">
        <v>154</v>
      </c>
    </row>
    <row r="19" customFormat="false" ht="15" hidden="false" customHeight="false" outlineLevel="0" collapsed="false">
      <c r="A19" s="7" t="s">
        <v>155</v>
      </c>
      <c r="B19" s="25" t="n">
        <f aca="false">B17*(1+B18)</f>
        <v>577300</v>
      </c>
    </row>
    <row r="21" customFormat="false" ht="15" hidden="false" customHeight="false" outlineLevel="0" collapsed="false">
      <c r="A21" s="3" t="s">
        <v>156</v>
      </c>
      <c r="B21" s="22" t="n">
        <v>80000</v>
      </c>
      <c r="D21" s="3" t="s">
        <v>157</v>
      </c>
    </row>
    <row r="22" customFormat="false" ht="15" hidden="false" customHeight="false" outlineLevel="0" collapsed="false">
      <c r="A22" s="7" t="s">
        <v>158</v>
      </c>
      <c r="B22" s="25" t="n">
        <f aca="false">B19+B21</f>
        <v>657300</v>
      </c>
    </row>
    <row r="24" customFormat="false" ht="15" hidden="false" customHeight="false" outlineLevel="0" collapsed="false">
      <c r="A24" s="4" t="s">
        <v>159</v>
      </c>
      <c r="B24" s="5"/>
      <c r="C24" s="5"/>
      <c r="D24" s="5"/>
    </row>
    <row r="25" customFormat="false" ht="15" hidden="false" customHeight="false" outlineLevel="0" collapsed="false">
      <c r="A25" s="3" t="s">
        <v>160</v>
      </c>
      <c r="B25" s="26" t="n">
        <f aca="false">B19*Annahmen!B63</f>
        <v>502251</v>
      </c>
    </row>
    <row r="26" customFormat="false" ht="15" hidden="false" customHeight="false" outlineLevel="0" collapsed="false">
      <c r="A26" s="3" t="s">
        <v>161</v>
      </c>
      <c r="B26" s="27" t="n">
        <f aca="false">B25/Annahmen!B62</f>
        <v>50225.1</v>
      </c>
    </row>
    <row r="27" customFormat="false" ht="15" hidden="false" customHeight="false" outlineLevel="0" collapsed="false">
      <c r="A27" s="3" t="s">
        <v>162</v>
      </c>
      <c r="B27" s="26" t="n">
        <f aca="false">B19*Annahmen!B15</f>
        <v>109687</v>
      </c>
      <c r="D27" s="3" t="s">
        <v>163</v>
      </c>
    </row>
    <row r="28" customFormat="false" ht="15" hidden="false" customHeight="false" outlineLevel="0" collapsed="false">
      <c r="A28" s="7" t="s">
        <v>164</v>
      </c>
      <c r="B28" s="23" t="n">
        <f aca="false">ROUND(B27*0.7,-3)</f>
        <v>77000</v>
      </c>
      <c r="D28" s="3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7" min="3" style="0" width="13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166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4" t="s">
        <v>167</v>
      </c>
      <c r="B3" s="5"/>
      <c r="C3" s="5"/>
      <c r="D3" s="5"/>
      <c r="E3" s="5"/>
      <c r="F3" s="5"/>
      <c r="G3" s="5"/>
      <c r="H3" s="5"/>
    </row>
    <row r="4" customFormat="false" ht="15" hidden="false" customHeight="false" outlineLevel="0" collapsed="false">
      <c r="A4" s="3" t="s">
        <v>168</v>
      </c>
      <c r="B4" s="22" t="n">
        <v>100000</v>
      </c>
      <c r="H4" s="3"/>
    </row>
    <row r="5" customFormat="false" ht="15" hidden="false" customHeight="false" outlineLevel="0" collapsed="false">
      <c r="A5" s="3" t="s">
        <v>169</v>
      </c>
      <c r="B5" s="22" t="n">
        <v>50000</v>
      </c>
      <c r="H5" s="3" t="s">
        <v>170</v>
      </c>
    </row>
    <row r="6" customFormat="false" ht="15" hidden="false" customHeight="false" outlineLevel="0" collapsed="false">
      <c r="A6" s="3" t="s">
        <v>171</v>
      </c>
      <c r="B6" s="22" t="n">
        <v>125000</v>
      </c>
      <c r="H6" s="3" t="s">
        <v>172</v>
      </c>
    </row>
    <row r="7" customFormat="false" ht="15" hidden="false" customHeight="false" outlineLevel="0" collapsed="false">
      <c r="A7" s="3" t="s">
        <v>173</v>
      </c>
      <c r="B7" s="22" t="n">
        <v>252300</v>
      </c>
      <c r="H7" s="3" t="s">
        <v>174</v>
      </c>
    </row>
    <row r="8" customFormat="false" ht="15" hidden="false" customHeight="false" outlineLevel="0" collapsed="false">
      <c r="A8" s="3" t="s">
        <v>175</v>
      </c>
      <c r="B8" s="22" t="n">
        <v>130000</v>
      </c>
      <c r="H8" s="3" t="s">
        <v>176</v>
      </c>
    </row>
    <row r="9" customFormat="false" ht="15" hidden="false" customHeight="false" outlineLevel="0" collapsed="false">
      <c r="A9" s="7" t="s">
        <v>177</v>
      </c>
      <c r="B9" s="23" t="n">
        <f aca="false">SUM(B4:B8)</f>
        <v>657300</v>
      </c>
    </row>
    <row r="10" customFormat="false" ht="15" hidden="false" customHeight="false" outlineLevel="0" collapsed="false">
      <c r="A10" s="7" t="s">
        <v>158</v>
      </c>
      <c r="B10" s="28" t="n">
        <f aca="false">Investition!B22</f>
        <v>657300</v>
      </c>
    </row>
    <row r="11" customFormat="false" ht="15" hidden="false" customHeight="false" outlineLevel="0" collapsed="false">
      <c r="A11" s="7" t="s">
        <v>178</v>
      </c>
      <c r="B11" s="25" t="n">
        <f aca="false">B9-B10</f>
        <v>0</v>
      </c>
    </row>
    <row r="12" customFormat="false" ht="15" hidden="false" customHeight="false" outlineLevel="0" collapsed="false">
      <c r="A12" s="3" t="s">
        <v>179</v>
      </c>
      <c r="B12" s="29" t="n">
        <f aca="false">(B4+B5)/B9</f>
        <v>0.228206298493838</v>
      </c>
      <c r="H12" s="3" t="s">
        <v>180</v>
      </c>
    </row>
    <row r="14" customFormat="false" ht="15" hidden="false" customHeight="false" outlineLevel="0" collapsed="false">
      <c r="A14" s="4" t="s">
        <v>181</v>
      </c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B15" s="16" t="s">
        <v>182</v>
      </c>
      <c r="C15" s="16" t="s">
        <v>183</v>
      </c>
      <c r="D15" s="16" t="s">
        <v>184</v>
      </c>
      <c r="E15" s="16" t="s">
        <v>185</v>
      </c>
    </row>
    <row r="16" customFormat="false" ht="15" hidden="false" customHeight="false" outlineLevel="0" collapsed="false">
      <c r="A16" s="3" t="s">
        <v>171</v>
      </c>
      <c r="B16" s="27" t="n">
        <f aca="false">B6</f>
        <v>125000</v>
      </c>
      <c r="C16" s="15" t="n">
        <v>0.05</v>
      </c>
      <c r="D16" s="12" t="n">
        <v>10</v>
      </c>
      <c r="E16" s="12" t="n">
        <v>2</v>
      </c>
      <c r="H16" s="3" t="s">
        <v>186</v>
      </c>
    </row>
    <row r="17" customFormat="false" ht="15" hidden="false" customHeight="false" outlineLevel="0" collapsed="false">
      <c r="A17" s="3" t="s">
        <v>187</v>
      </c>
      <c r="B17" s="27" t="n">
        <f aca="false">B7</f>
        <v>252300</v>
      </c>
      <c r="C17" s="15" t="n">
        <v>0.045</v>
      </c>
      <c r="D17" s="12" t="n">
        <v>15</v>
      </c>
      <c r="E17" s="12" t="n">
        <v>3</v>
      </c>
    </row>
    <row r="18" customFormat="false" ht="15" hidden="false" customHeight="false" outlineLevel="0" collapsed="false">
      <c r="A18" s="3" t="s">
        <v>188</v>
      </c>
      <c r="B18" s="27" t="n">
        <f aca="false">B8</f>
        <v>130000</v>
      </c>
      <c r="C18" s="15" t="n">
        <v>0.06</v>
      </c>
      <c r="D18" s="12" t="n">
        <v>7</v>
      </c>
      <c r="E18" s="12" t="n">
        <v>0</v>
      </c>
    </row>
    <row r="20" customFormat="false" ht="15" hidden="false" customHeight="false" outlineLevel="0" collapsed="false">
      <c r="A20" s="4" t="s">
        <v>189</v>
      </c>
      <c r="B20" s="5"/>
      <c r="C20" s="5"/>
      <c r="D20" s="5"/>
      <c r="E20" s="5"/>
      <c r="F20" s="5"/>
      <c r="G20" s="5"/>
      <c r="H20" s="5"/>
    </row>
    <row r="21" customFormat="false" ht="15" hidden="false" customHeight="false" outlineLevel="0" collapsed="false">
      <c r="A21" s="7" t="s">
        <v>171</v>
      </c>
      <c r="B21" s="20" t="s">
        <v>77</v>
      </c>
      <c r="C21" s="20" t="s">
        <v>78</v>
      </c>
      <c r="D21" s="20" t="s">
        <v>79</v>
      </c>
      <c r="E21" s="20" t="s">
        <v>80</v>
      </c>
      <c r="F21" s="20" t="s">
        <v>81</v>
      </c>
    </row>
    <row r="22" customFormat="false" ht="15" hidden="false" customHeight="false" outlineLevel="0" collapsed="false">
      <c r="A22" s="30" t="s">
        <v>190</v>
      </c>
      <c r="B22" s="27" t="n">
        <f aca="false">B16</f>
        <v>125000</v>
      </c>
      <c r="C22" s="27" t="n">
        <f aca="false">B25</f>
        <v>125000</v>
      </c>
      <c r="D22" s="27" t="n">
        <f aca="false">C25</f>
        <v>125000</v>
      </c>
      <c r="E22" s="27" t="n">
        <f aca="false">D25</f>
        <v>109375</v>
      </c>
      <c r="F22" s="27" t="n">
        <f aca="false">E25</f>
        <v>93750</v>
      </c>
    </row>
    <row r="23" customFormat="false" ht="15" hidden="false" customHeight="false" outlineLevel="0" collapsed="false">
      <c r="A23" s="30" t="s">
        <v>191</v>
      </c>
      <c r="B23" s="27" t="n">
        <f aca="false">B22*$C$16</f>
        <v>6250</v>
      </c>
      <c r="C23" s="27" t="n">
        <f aca="false">C22*$C$16</f>
        <v>6250</v>
      </c>
      <c r="D23" s="27" t="n">
        <f aca="false">D22*$C$16</f>
        <v>6250</v>
      </c>
      <c r="E23" s="27" t="n">
        <f aca="false">E22*$C$16</f>
        <v>5468.75</v>
      </c>
      <c r="F23" s="27" t="n">
        <f aca="false">F22*$C$16</f>
        <v>4687.5</v>
      </c>
    </row>
    <row r="24" customFormat="false" ht="15" hidden="false" customHeight="false" outlineLevel="0" collapsed="false">
      <c r="A24" s="30" t="s">
        <v>192</v>
      </c>
      <c r="B24" s="27" t="n">
        <f aca="false">IF(1&lt;=$E$16,0,MIN(B22,$B$16/($D$16-$E$16)))</f>
        <v>0</v>
      </c>
      <c r="C24" s="27" t="n">
        <f aca="false">IF(2&lt;=$E$16,0,MIN(C22,$B$16/($D$16-$E$16)))</f>
        <v>0</v>
      </c>
      <c r="D24" s="27" t="n">
        <f aca="false">IF(3&lt;=$E$16,0,MIN(D22,$B$16/($D$16-$E$16)))</f>
        <v>15625</v>
      </c>
      <c r="E24" s="27" t="n">
        <f aca="false">IF(4&lt;=$E$16,0,MIN(E22,$B$16/($D$16-$E$16)))</f>
        <v>15625</v>
      </c>
      <c r="F24" s="27" t="n">
        <f aca="false">IF(5&lt;=$E$16,0,MIN(F22,$B$16/($D$16-$E$16)))</f>
        <v>15625</v>
      </c>
    </row>
    <row r="25" customFormat="false" ht="15" hidden="false" customHeight="false" outlineLevel="0" collapsed="false">
      <c r="A25" s="30" t="s">
        <v>193</v>
      </c>
      <c r="B25" s="27" t="n">
        <f aca="false">B22-B24</f>
        <v>125000</v>
      </c>
      <c r="C25" s="27" t="n">
        <f aca="false">C22-C24</f>
        <v>125000</v>
      </c>
      <c r="D25" s="27" t="n">
        <f aca="false">D22-D24</f>
        <v>109375</v>
      </c>
      <c r="E25" s="27" t="n">
        <f aca="false">E22-E24</f>
        <v>93750</v>
      </c>
      <c r="F25" s="27" t="n">
        <f aca="false">F22-F24</f>
        <v>78125</v>
      </c>
    </row>
    <row r="27" customFormat="false" ht="15" hidden="false" customHeight="false" outlineLevel="0" collapsed="false">
      <c r="A27" s="7" t="s">
        <v>187</v>
      </c>
      <c r="B27" s="20" t="s">
        <v>77</v>
      </c>
      <c r="C27" s="20" t="s">
        <v>78</v>
      </c>
      <c r="D27" s="20" t="s">
        <v>79</v>
      </c>
      <c r="E27" s="20" t="s">
        <v>80</v>
      </c>
      <c r="F27" s="20" t="s">
        <v>81</v>
      </c>
    </row>
    <row r="28" customFormat="false" ht="15" hidden="false" customHeight="false" outlineLevel="0" collapsed="false">
      <c r="A28" s="30" t="s">
        <v>190</v>
      </c>
      <c r="B28" s="27" t="n">
        <f aca="false">B17</f>
        <v>252300</v>
      </c>
      <c r="C28" s="27" t="n">
        <f aca="false">B31</f>
        <v>252300</v>
      </c>
      <c r="D28" s="27" t="n">
        <f aca="false">C31</f>
        <v>252300</v>
      </c>
      <c r="E28" s="27" t="n">
        <f aca="false">D31</f>
        <v>252300</v>
      </c>
      <c r="F28" s="27" t="n">
        <f aca="false">E31</f>
        <v>231275</v>
      </c>
    </row>
    <row r="29" customFormat="false" ht="15" hidden="false" customHeight="false" outlineLevel="0" collapsed="false">
      <c r="A29" s="30" t="s">
        <v>191</v>
      </c>
      <c r="B29" s="27" t="n">
        <f aca="false">B28*$C$17</f>
        <v>11353.5</v>
      </c>
      <c r="C29" s="27" t="n">
        <f aca="false">C28*$C$17</f>
        <v>11353.5</v>
      </c>
      <c r="D29" s="27" t="n">
        <f aca="false">D28*$C$17</f>
        <v>11353.5</v>
      </c>
      <c r="E29" s="27" t="n">
        <f aca="false">E28*$C$17</f>
        <v>11353.5</v>
      </c>
      <c r="F29" s="27" t="n">
        <f aca="false">F28*$C$17</f>
        <v>10407.375</v>
      </c>
    </row>
    <row r="30" customFormat="false" ht="15" hidden="false" customHeight="false" outlineLevel="0" collapsed="false">
      <c r="A30" s="30" t="s">
        <v>192</v>
      </c>
      <c r="B30" s="27" t="n">
        <f aca="false">IF(1&lt;=$E$17,0,MIN(B28,$B$17/($D$17-$E$17)))</f>
        <v>0</v>
      </c>
      <c r="C30" s="27" t="n">
        <f aca="false">IF(2&lt;=$E$17,0,MIN(C28,$B$17/($D$17-$E$17)))</f>
        <v>0</v>
      </c>
      <c r="D30" s="27" t="n">
        <f aca="false">IF(3&lt;=$E$17,0,MIN(D28,$B$17/($D$17-$E$17)))</f>
        <v>0</v>
      </c>
      <c r="E30" s="27" t="n">
        <f aca="false">IF(4&lt;=$E$17,0,MIN(E28,$B$17/($D$17-$E$17)))</f>
        <v>21025</v>
      </c>
      <c r="F30" s="27" t="n">
        <f aca="false">IF(5&lt;=$E$17,0,MIN(F28,$B$17/($D$17-$E$17)))</f>
        <v>21025</v>
      </c>
    </row>
    <row r="31" customFormat="false" ht="15" hidden="false" customHeight="false" outlineLevel="0" collapsed="false">
      <c r="A31" s="30" t="s">
        <v>193</v>
      </c>
      <c r="B31" s="27" t="n">
        <f aca="false">B28-B30</f>
        <v>252300</v>
      </c>
      <c r="C31" s="27" t="n">
        <f aca="false">C28-C30</f>
        <v>252300</v>
      </c>
      <c r="D31" s="27" t="n">
        <f aca="false">D28-D30</f>
        <v>252300</v>
      </c>
      <c r="E31" s="27" t="n">
        <f aca="false">E28-E30</f>
        <v>231275</v>
      </c>
      <c r="F31" s="27" t="n">
        <f aca="false">F28-F30</f>
        <v>210250</v>
      </c>
    </row>
    <row r="33" customFormat="false" ht="15" hidden="false" customHeight="false" outlineLevel="0" collapsed="false">
      <c r="A33" s="7" t="s">
        <v>188</v>
      </c>
      <c r="B33" s="20" t="s">
        <v>77</v>
      </c>
      <c r="C33" s="20" t="s">
        <v>78</v>
      </c>
      <c r="D33" s="20" t="s">
        <v>79</v>
      </c>
      <c r="E33" s="20" t="s">
        <v>80</v>
      </c>
      <c r="F33" s="20" t="s">
        <v>81</v>
      </c>
    </row>
    <row r="34" customFormat="false" ht="15" hidden="false" customHeight="false" outlineLevel="0" collapsed="false">
      <c r="A34" s="30" t="s">
        <v>190</v>
      </c>
      <c r="B34" s="27" t="n">
        <f aca="false">B18</f>
        <v>130000</v>
      </c>
      <c r="C34" s="27" t="n">
        <f aca="false">B37</f>
        <v>111428.571428571</v>
      </c>
      <c r="D34" s="27" t="n">
        <f aca="false">C37</f>
        <v>92857.1428571428</v>
      </c>
      <c r="E34" s="27" t="n">
        <f aca="false">D37</f>
        <v>74285.7142857143</v>
      </c>
      <c r="F34" s="27" t="n">
        <f aca="false">E37</f>
        <v>55714.2857142857</v>
      </c>
    </row>
    <row r="35" customFormat="false" ht="15" hidden="false" customHeight="false" outlineLevel="0" collapsed="false">
      <c r="A35" s="30" t="s">
        <v>191</v>
      </c>
      <c r="B35" s="27" t="n">
        <f aca="false">B34*$C$18</f>
        <v>7800</v>
      </c>
      <c r="C35" s="27" t="n">
        <f aca="false">C34*$C$18</f>
        <v>6685.71428571429</v>
      </c>
      <c r="D35" s="27" t="n">
        <f aca="false">D34*$C$18</f>
        <v>5571.42857142857</v>
      </c>
      <c r="E35" s="27" t="n">
        <f aca="false">E34*$C$18</f>
        <v>4457.14285714286</v>
      </c>
      <c r="F35" s="27" t="n">
        <f aca="false">F34*$C$18</f>
        <v>3342.85714285714</v>
      </c>
    </row>
    <row r="36" customFormat="false" ht="15" hidden="false" customHeight="false" outlineLevel="0" collapsed="false">
      <c r="A36" s="30" t="s">
        <v>192</v>
      </c>
      <c r="B36" s="27" t="n">
        <f aca="false">IF(1&lt;=$E$18,0,MIN(B34,$B$18/($D$18-$E$18)))</f>
        <v>18571.4285714286</v>
      </c>
      <c r="C36" s="27" t="n">
        <f aca="false">IF(2&lt;=$E$18,0,MIN(C34,$B$18/($D$18-$E$18)))</f>
        <v>18571.4285714286</v>
      </c>
      <c r="D36" s="27" t="n">
        <f aca="false">IF(3&lt;=$E$18,0,MIN(D34,$B$18/($D$18-$E$18)))</f>
        <v>18571.4285714286</v>
      </c>
      <c r="E36" s="27" t="n">
        <f aca="false">IF(4&lt;=$E$18,0,MIN(E34,$B$18/($D$18-$E$18)))</f>
        <v>18571.4285714286</v>
      </c>
      <c r="F36" s="27" t="n">
        <f aca="false">IF(5&lt;=$E$18,0,MIN(F34,$B$18/($D$18-$E$18)))</f>
        <v>18571.4285714286</v>
      </c>
    </row>
    <row r="37" customFormat="false" ht="15" hidden="false" customHeight="false" outlineLevel="0" collapsed="false">
      <c r="A37" s="30" t="s">
        <v>193</v>
      </c>
      <c r="B37" s="27" t="n">
        <f aca="false">B34-B36</f>
        <v>111428.571428571</v>
      </c>
      <c r="C37" s="27" t="n">
        <f aca="false">C34-C36</f>
        <v>92857.1428571428</v>
      </c>
      <c r="D37" s="27" t="n">
        <f aca="false">D34-D36</f>
        <v>74285.7142857143</v>
      </c>
      <c r="E37" s="27" t="n">
        <f aca="false">E34-E36</f>
        <v>55714.2857142857</v>
      </c>
      <c r="F37" s="27" t="n">
        <f aca="false">F34-F36</f>
        <v>37142.8571428571</v>
      </c>
    </row>
    <row r="39" customFormat="false" ht="15" hidden="false" customHeight="false" outlineLevel="0" collapsed="false">
      <c r="A39" s="4" t="s">
        <v>194</v>
      </c>
      <c r="B39" s="5"/>
      <c r="C39" s="5"/>
      <c r="D39" s="5"/>
      <c r="E39" s="5"/>
      <c r="F39" s="5"/>
      <c r="G39" s="5"/>
      <c r="H39" s="5"/>
    </row>
    <row r="40" customFormat="false" ht="15" hidden="false" customHeight="false" outlineLevel="0" collapsed="false">
      <c r="B40" s="20" t="s">
        <v>77</v>
      </c>
      <c r="C40" s="20" t="s">
        <v>78</v>
      </c>
      <c r="D40" s="20" t="s">
        <v>79</v>
      </c>
      <c r="E40" s="20" t="s">
        <v>80</v>
      </c>
      <c r="F40" s="20" t="s">
        <v>81</v>
      </c>
    </row>
    <row r="41" customFormat="false" ht="15" hidden="false" customHeight="false" outlineLevel="0" collapsed="false">
      <c r="A41" s="7" t="s">
        <v>195</v>
      </c>
      <c r="B41" s="23" t="n">
        <f aca="false">B23+B29+B35</f>
        <v>25403.5</v>
      </c>
      <c r="C41" s="23" t="n">
        <f aca="false">C23+C29+C35</f>
        <v>24289.2142857143</v>
      </c>
      <c r="D41" s="23" t="n">
        <f aca="false">D23+D29+D35</f>
        <v>23174.9285714286</v>
      </c>
      <c r="E41" s="23" t="n">
        <f aca="false">E23+E29+E35</f>
        <v>21279.3928571429</v>
      </c>
      <c r="F41" s="23" t="n">
        <f aca="false">F23+F29+F35</f>
        <v>18437.7321428571</v>
      </c>
    </row>
    <row r="42" customFormat="false" ht="15" hidden="false" customHeight="false" outlineLevel="0" collapsed="false">
      <c r="A42" s="7" t="s">
        <v>192</v>
      </c>
      <c r="B42" s="23" t="n">
        <f aca="false">B24+B30+B36</f>
        <v>18571.4285714286</v>
      </c>
      <c r="C42" s="23" t="n">
        <f aca="false">C24+C30+C36</f>
        <v>18571.4285714286</v>
      </c>
      <c r="D42" s="23" t="n">
        <f aca="false">D24+D30+D36</f>
        <v>34196.4285714286</v>
      </c>
      <c r="E42" s="23" t="n">
        <f aca="false">E24+E30+E36</f>
        <v>55221.4285714286</v>
      </c>
      <c r="F42" s="23" t="n">
        <f aca="false">F24+F30+F36</f>
        <v>55221.4285714286</v>
      </c>
    </row>
    <row r="43" customFormat="false" ht="15" hidden="false" customHeight="false" outlineLevel="0" collapsed="false">
      <c r="A43" s="7" t="s">
        <v>196</v>
      </c>
      <c r="B43" s="25" t="n">
        <f aca="false">B41+B42</f>
        <v>43974.9285714286</v>
      </c>
      <c r="C43" s="25" t="n">
        <f aca="false">C41+C42</f>
        <v>42860.6428571429</v>
      </c>
      <c r="D43" s="25" t="n">
        <f aca="false">D41+D42</f>
        <v>57371.3571428571</v>
      </c>
      <c r="E43" s="25" t="n">
        <f aca="false">E41+E42</f>
        <v>76500.8214285714</v>
      </c>
      <c r="F43" s="25" t="n">
        <f aca="false">F41+F42</f>
        <v>73659.1607142857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4"/>
    <col collapsed="false" customWidth="true" hidden="false" outlineLevel="0" max="7" min="7" style="0" width="42"/>
  </cols>
  <sheetData>
    <row r="1" customFormat="false" ht="17.35" hidden="false" customHeight="false" outlineLevel="0" collapsed="false">
      <c r="A1" s="1" t="s">
        <v>197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4" t="s">
        <v>198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B4" s="20" t="s">
        <v>77</v>
      </c>
      <c r="C4" s="20" t="s">
        <v>78</v>
      </c>
      <c r="D4" s="20" t="s">
        <v>79</v>
      </c>
      <c r="E4" s="20" t="s">
        <v>80</v>
      </c>
      <c r="F4" s="20" t="s">
        <v>81</v>
      </c>
    </row>
    <row r="5" customFormat="false" ht="15" hidden="false" customHeight="false" outlineLevel="0" collapsed="false">
      <c r="A5" s="3" t="s">
        <v>72</v>
      </c>
      <c r="B5" s="13" t="n">
        <f aca="false">Annahmen!$B$4*Annahmen!$B$7*Annahmen!$B$8*Annahmen!B24*Annahmen!$B$56</f>
        <v>5850</v>
      </c>
      <c r="C5" s="13" t="n">
        <f aca="false">Annahmen!$B$4*Annahmen!$B$7*Annahmen!$B$8*Annahmen!C24*Annahmen!$B$56</f>
        <v>6480</v>
      </c>
      <c r="D5" s="13" t="n">
        <f aca="false">Annahmen!$B$4*Annahmen!$B$7*Annahmen!$B$8*Annahmen!D24*Annahmen!$B$56</f>
        <v>7020</v>
      </c>
      <c r="E5" s="13" t="n">
        <f aca="false">Annahmen!$B$4*Annahmen!$B$7*Annahmen!$B$8*Annahmen!E24*Annahmen!$B$56</f>
        <v>7200</v>
      </c>
      <c r="F5" s="13" t="n">
        <f aca="false">Annahmen!$B$4*Annahmen!$B$7*Annahmen!$B$8*Annahmen!F24*Annahmen!$B$56</f>
        <v>7290</v>
      </c>
    </row>
    <row r="6" customFormat="false" ht="15" hidden="false" customHeight="false" outlineLevel="0" collapsed="false">
      <c r="A6" s="3" t="s">
        <v>74</v>
      </c>
      <c r="B6" s="13" t="n">
        <f aca="false">Annahmen!$B$4*Annahmen!$B$7*Annahmen!$B$9*Annahmen!B25*Annahmen!$B$56</f>
        <v>2300</v>
      </c>
      <c r="C6" s="13" t="n">
        <f aca="false">Annahmen!$B$4*Annahmen!$B$7*Annahmen!$B$9*Annahmen!C25*Annahmen!$B$56</f>
        <v>3036</v>
      </c>
      <c r="D6" s="13" t="n">
        <f aca="false">Annahmen!$B$4*Annahmen!$B$7*Annahmen!$B$9*Annahmen!D25*Annahmen!$B$56</f>
        <v>3680</v>
      </c>
      <c r="E6" s="13" t="n">
        <f aca="false">Annahmen!$B$4*Annahmen!$B$7*Annahmen!$B$9*Annahmen!E25*Annahmen!$B$56</f>
        <v>3864</v>
      </c>
      <c r="F6" s="13" t="n">
        <f aca="false">Annahmen!$B$4*Annahmen!$B$7*Annahmen!$B$9*Annahmen!F25*Annahmen!$B$56</f>
        <v>3956</v>
      </c>
    </row>
    <row r="7" customFormat="false" ht="15" hidden="false" customHeight="false" outlineLevel="0" collapsed="false">
      <c r="A7" s="3" t="s">
        <v>75</v>
      </c>
      <c r="B7" s="13" t="n">
        <f aca="false">Annahmen!$B$4*Annahmen!$B$7*Annahmen!$B$10*Annahmen!B26*Annahmen!$B$56</f>
        <v>630</v>
      </c>
      <c r="C7" s="13" t="n">
        <f aca="false">Annahmen!$B$4*Annahmen!$B$7*Annahmen!$B$10*Annahmen!C26*Annahmen!$B$56</f>
        <v>840</v>
      </c>
      <c r="D7" s="13" t="n">
        <f aca="false">Annahmen!$B$4*Annahmen!$B$7*Annahmen!$B$10*Annahmen!D26*Annahmen!$B$56</f>
        <v>1050</v>
      </c>
      <c r="E7" s="13" t="n">
        <f aca="false">Annahmen!$B$4*Annahmen!$B$7*Annahmen!$B$10*Annahmen!E26*Annahmen!$B$56</f>
        <v>1092</v>
      </c>
      <c r="F7" s="13" t="n">
        <f aca="false">Annahmen!$B$4*Annahmen!$B$7*Annahmen!$B$10*Annahmen!F26*Annahmen!$B$56</f>
        <v>1134</v>
      </c>
    </row>
    <row r="8" customFormat="false" ht="15" hidden="false" customHeight="false" outlineLevel="0" collapsed="false">
      <c r="A8" s="7" t="s">
        <v>199</v>
      </c>
      <c r="B8" s="14" t="n">
        <f aca="false">B5+B6+B7</f>
        <v>8780</v>
      </c>
      <c r="C8" s="14" t="n">
        <f aca="false">C5+C6+C7</f>
        <v>10356</v>
      </c>
      <c r="D8" s="14" t="n">
        <f aca="false">D5+D6+D7</f>
        <v>11750</v>
      </c>
      <c r="E8" s="14" t="n">
        <f aca="false">E5+E6+E7</f>
        <v>12156</v>
      </c>
      <c r="F8" s="14" t="n">
        <f aca="false">F5+F6+F7</f>
        <v>12380</v>
      </c>
    </row>
    <row r="9" customFormat="false" ht="15" hidden="false" customHeight="false" outlineLevel="0" collapsed="false">
      <c r="A9" s="7" t="s">
        <v>200</v>
      </c>
      <c r="B9" s="31" t="n">
        <f aca="false">B8/Annahmen!$B$12</f>
        <v>0.380020775623269</v>
      </c>
      <c r="C9" s="31" t="n">
        <f aca="false">C8/Annahmen!$B$12</f>
        <v>0.448234072022161</v>
      </c>
      <c r="D9" s="31" t="n">
        <f aca="false">D8/Annahmen!$B$12</f>
        <v>0.508569944598338</v>
      </c>
      <c r="E9" s="31" t="n">
        <f aca="false">E8/Annahmen!$B$12</f>
        <v>0.526142659279778</v>
      </c>
      <c r="F9" s="31" t="n">
        <f aca="false">F8/Annahmen!$B$12</f>
        <v>0.535837950138504</v>
      </c>
    </row>
    <row r="10" customFormat="false" ht="15" hidden="false" customHeight="false" outlineLevel="0" collapsed="false">
      <c r="A10" s="3" t="s">
        <v>201</v>
      </c>
      <c r="B10" s="29" t="n">
        <f aca="false">Annahmen!B24*Annahmen!$B$56</f>
        <v>0.65</v>
      </c>
      <c r="C10" s="29" t="n">
        <f aca="false">Annahmen!C24*Annahmen!$B$56</f>
        <v>0.72</v>
      </c>
      <c r="D10" s="29" t="n">
        <f aca="false">Annahmen!D24*Annahmen!$B$56</f>
        <v>0.78</v>
      </c>
      <c r="E10" s="29" t="n">
        <f aca="false">Annahmen!E24*Annahmen!$B$56</f>
        <v>0.8</v>
      </c>
      <c r="F10" s="29" t="n">
        <f aca="false">Annahmen!F24*Annahmen!$B$56</f>
        <v>0.81</v>
      </c>
    </row>
    <row r="12" customFormat="false" ht="15" hidden="false" customHeight="false" outlineLevel="0" collapsed="false">
      <c r="A12" s="4" t="s">
        <v>202</v>
      </c>
      <c r="B12" s="5"/>
      <c r="C12" s="5"/>
      <c r="D12" s="5"/>
      <c r="E12" s="5"/>
      <c r="F12" s="5"/>
      <c r="G12" s="5"/>
    </row>
    <row r="13" customFormat="false" ht="15" hidden="false" customHeight="false" outlineLevel="0" collapsed="false">
      <c r="B13" s="20" t="s">
        <v>77</v>
      </c>
      <c r="C13" s="20" t="s">
        <v>78</v>
      </c>
      <c r="D13" s="20" t="s">
        <v>79</v>
      </c>
      <c r="E13" s="20" t="s">
        <v>80</v>
      </c>
      <c r="F13" s="20" t="s">
        <v>81</v>
      </c>
    </row>
    <row r="14" customFormat="false" ht="15" hidden="false" customHeight="false" outlineLevel="0" collapsed="false">
      <c r="A14" s="3" t="s">
        <v>72</v>
      </c>
      <c r="B14" s="27" t="n">
        <f aca="false">B5*Annahmen!$C$18*Annahmen!$B$57</f>
        <v>216302.521008403</v>
      </c>
      <c r="C14" s="27" t="n">
        <f aca="false">C5*Annahmen!$C$18*Annahmen!$B$57</f>
        <v>239596.638655462</v>
      </c>
      <c r="D14" s="27" t="n">
        <f aca="false">D5*Annahmen!$C$18*Annahmen!$B$57</f>
        <v>259563.025210084</v>
      </c>
      <c r="E14" s="27" t="n">
        <f aca="false">E5*Annahmen!$C$18*Annahmen!$B$57</f>
        <v>266218.487394958</v>
      </c>
      <c r="F14" s="27" t="n">
        <f aca="false">F5*Annahmen!$C$18*Annahmen!$B$57</f>
        <v>269546.218487395</v>
      </c>
    </row>
    <row r="15" customFormat="false" ht="15" hidden="false" customHeight="false" outlineLevel="0" collapsed="false">
      <c r="A15" s="3" t="s">
        <v>74</v>
      </c>
      <c r="B15" s="27" t="n">
        <f aca="false">B6*Annahmen!$C$19*Annahmen!$B$57</f>
        <v>57983.1932773109</v>
      </c>
      <c r="C15" s="27" t="n">
        <f aca="false">C6*Annahmen!$C$19*Annahmen!$B$57</f>
        <v>76537.8151260504</v>
      </c>
      <c r="D15" s="27" t="n">
        <f aca="false">D6*Annahmen!$C$19*Annahmen!$B$57</f>
        <v>92773.1092436975</v>
      </c>
      <c r="E15" s="27" t="n">
        <f aca="false">E6*Annahmen!$C$19*Annahmen!$B$57</f>
        <v>97411.7647058824</v>
      </c>
      <c r="F15" s="27" t="n">
        <f aca="false">F6*Annahmen!$C$19*Annahmen!$B$57</f>
        <v>99731.0924369748</v>
      </c>
    </row>
    <row r="16" customFormat="false" ht="15" hidden="false" customHeight="false" outlineLevel="0" collapsed="false">
      <c r="A16" s="3" t="s">
        <v>75</v>
      </c>
      <c r="B16" s="27" t="n">
        <f aca="false">B7*Annahmen!$C$20*Annahmen!$B$57</f>
        <v>11647.0588235294</v>
      </c>
      <c r="C16" s="27" t="n">
        <f aca="false">C7*Annahmen!$C$20*Annahmen!$B$57</f>
        <v>15529.4117647059</v>
      </c>
      <c r="D16" s="27" t="n">
        <f aca="false">D7*Annahmen!$C$20*Annahmen!$B$57</f>
        <v>19411.7647058824</v>
      </c>
      <c r="E16" s="27" t="n">
        <f aca="false">E7*Annahmen!$C$20*Annahmen!$B$57</f>
        <v>20188.2352941177</v>
      </c>
      <c r="F16" s="27" t="n">
        <f aca="false">F7*Annahmen!$C$20*Annahmen!$B$57</f>
        <v>20964.7058823529</v>
      </c>
    </row>
    <row r="17" customFormat="false" ht="15" hidden="false" customHeight="false" outlineLevel="0" collapsed="false">
      <c r="A17" s="7" t="s">
        <v>203</v>
      </c>
      <c r="B17" s="23" t="n">
        <f aca="false">B14+B15+B16</f>
        <v>285932.773109244</v>
      </c>
      <c r="C17" s="23" t="n">
        <f aca="false">C14+C15+C16</f>
        <v>331663.865546219</v>
      </c>
      <c r="D17" s="23" t="n">
        <f aca="false">D14+D15+D16</f>
        <v>371747.899159664</v>
      </c>
      <c r="E17" s="23" t="n">
        <f aca="false">E14+E15+E16</f>
        <v>383818.487394958</v>
      </c>
      <c r="F17" s="23" t="n">
        <f aca="false">F14+F15+F16</f>
        <v>390242.016806723</v>
      </c>
    </row>
    <row r="18" customFormat="false" ht="15" hidden="false" customHeight="false" outlineLevel="0" collapsed="false">
      <c r="A18" s="3" t="s">
        <v>204</v>
      </c>
      <c r="B18" s="18" t="n">
        <f aca="false">IFERROR(B17/B8,0)</f>
        <v>32.5663750693899</v>
      </c>
      <c r="C18" s="18" t="n">
        <f aca="false">IFERROR(C17/C8,0)</f>
        <v>32.0262519839918</v>
      </c>
      <c r="D18" s="18" t="n">
        <f aca="false">IFERROR(D17/D8,0)</f>
        <v>31.6381190774182</v>
      </c>
      <c r="E18" s="18" t="n">
        <f aca="false">IFERROR(E17/E8,0)</f>
        <v>31.5744066629613</v>
      </c>
      <c r="F18" s="18" t="n">
        <f aca="false">IFERROR(F17/F8,0)</f>
        <v>31.5219722784106</v>
      </c>
    </row>
    <row r="19" customFormat="false" ht="15" hidden="false" customHeight="false" outlineLevel="0" collapsed="false">
      <c r="A19" s="3" t="s">
        <v>205</v>
      </c>
      <c r="B19" s="27" t="n">
        <f aca="false">B17/Annahmen!$B$4</f>
        <v>71483.1932773109</v>
      </c>
      <c r="C19" s="27" t="n">
        <f aca="false">C17/Annahmen!$B$4</f>
        <v>82915.9663865546</v>
      </c>
      <c r="D19" s="27" t="n">
        <f aca="false">D17/Annahmen!$B$4</f>
        <v>92936.974789916</v>
      </c>
      <c r="E19" s="27" t="n">
        <f aca="false">E17/Annahmen!$B$4</f>
        <v>95954.6218487395</v>
      </c>
      <c r="F19" s="27" t="n">
        <f aca="false">F17/Annahmen!$B$4</f>
        <v>97560.5042016807</v>
      </c>
    </row>
    <row r="21" customFormat="false" ht="15" hidden="false" customHeight="false" outlineLevel="0" collapsed="false">
      <c r="A21" s="4" t="s">
        <v>206</v>
      </c>
      <c r="B21" s="5"/>
      <c r="C21" s="5"/>
      <c r="D21" s="5"/>
      <c r="E21" s="5"/>
      <c r="F21" s="5"/>
      <c r="G21" s="5"/>
    </row>
    <row r="22" customFormat="false" ht="15" hidden="false" customHeight="false" outlineLevel="0" collapsed="false">
      <c r="B22" s="20" t="s">
        <v>77</v>
      </c>
      <c r="C22" s="20" t="s">
        <v>78</v>
      </c>
      <c r="D22" s="20" t="s">
        <v>79</v>
      </c>
      <c r="E22" s="20" t="s">
        <v>80</v>
      </c>
      <c r="F22" s="20" t="s">
        <v>81</v>
      </c>
    </row>
    <row r="23" customFormat="false" ht="15" hidden="false" customHeight="false" outlineLevel="0" collapsed="false">
      <c r="A23" s="3" t="s">
        <v>84</v>
      </c>
      <c r="B23" s="26" t="n">
        <f aca="false">Annahmen!B30*Annahmen!$B$56</f>
        <v>30000</v>
      </c>
      <c r="C23" s="26" t="n">
        <f aca="false">Annahmen!C30*Annahmen!$B$56</f>
        <v>38000</v>
      </c>
      <c r="D23" s="26" t="n">
        <f aca="false">Annahmen!D30*Annahmen!$B$56</f>
        <v>45000</v>
      </c>
      <c r="E23" s="26" t="n">
        <f aca="false">Annahmen!E30*Annahmen!$B$56</f>
        <v>48000</v>
      </c>
      <c r="F23" s="26" t="n">
        <f aca="false">Annahmen!F30*Annahmen!$B$56</f>
        <v>50000</v>
      </c>
    </row>
    <row r="24" customFormat="false" ht="15" hidden="false" customHeight="false" outlineLevel="0" collapsed="false">
      <c r="A24" s="3" t="s">
        <v>85</v>
      </c>
      <c r="B24" s="26" t="n">
        <f aca="false">Annahmen!B31*Annahmen!$B$56</f>
        <v>14000</v>
      </c>
      <c r="C24" s="26" t="n">
        <f aca="false">Annahmen!C31*Annahmen!$B$56</f>
        <v>20000</v>
      </c>
      <c r="D24" s="26" t="n">
        <f aca="false">Annahmen!D31*Annahmen!$B$56</f>
        <v>25000</v>
      </c>
      <c r="E24" s="26" t="n">
        <f aca="false">Annahmen!E31*Annahmen!$B$56</f>
        <v>27000</v>
      </c>
      <c r="F24" s="26" t="n">
        <f aca="false">Annahmen!F31*Annahmen!$B$56</f>
        <v>28000</v>
      </c>
    </row>
    <row r="25" customFormat="false" ht="15" hidden="false" customHeight="false" outlineLevel="0" collapsed="false">
      <c r="A25" s="3" t="s">
        <v>86</v>
      </c>
      <c r="B25" s="26" t="n">
        <f aca="false">Annahmen!B32*Annahmen!$B$56</f>
        <v>10000</v>
      </c>
      <c r="C25" s="26" t="n">
        <f aca="false">Annahmen!C32*Annahmen!$B$56</f>
        <v>18000</v>
      </c>
      <c r="D25" s="26" t="n">
        <f aca="false">Annahmen!D32*Annahmen!$B$56</f>
        <v>24000</v>
      </c>
      <c r="E25" s="26" t="n">
        <f aca="false">Annahmen!E32*Annahmen!$B$56</f>
        <v>25000</v>
      </c>
      <c r="F25" s="26" t="n">
        <f aca="false">Annahmen!F32*Annahmen!$B$56</f>
        <v>26000</v>
      </c>
    </row>
    <row r="26" customFormat="false" ht="15" hidden="false" customHeight="false" outlineLevel="0" collapsed="false">
      <c r="A26" s="3" t="s">
        <v>87</v>
      </c>
      <c r="B26" s="26" t="n">
        <f aca="false">Annahmen!B33*Annahmen!$B$56</f>
        <v>8000</v>
      </c>
      <c r="C26" s="26" t="n">
        <f aca="false">Annahmen!C33*Annahmen!$B$56</f>
        <v>12000</v>
      </c>
      <c r="D26" s="26" t="n">
        <f aca="false">Annahmen!D33*Annahmen!$B$56</f>
        <v>16000</v>
      </c>
      <c r="E26" s="26" t="n">
        <f aca="false">Annahmen!E33*Annahmen!$B$56</f>
        <v>17000</v>
      </c>
      <c r="F26" s="26" t="n">
        <f aca="false">Annahmen!F33*Annahmen!$B$56</f>
        <v>18000</v>
      </c>
    </row>
    <row r="27" customFormat="false" ht="15" hidden="false" customHeight="false" outlineLevel="0" collapsed="false">
      <c r="A27" s="3" t="s">
        <v>88</v>
      </c>
      <c r="B27" s="26" t="n">
        <f aca="false">Annahmen!B34*Annahmen!$B$56</f>
        <v>13000</v>
      </c>
      <c r="C27" s="26" t="n">
        <f aca="false">Annahmen!C34*Annahmen!$B$56</f>
        <v>12000</v>
      </c>
      <c r="D27" s="26" t="n">
        <f aca="false">Annahmen!D34*Annahmen!$B$56</f>
        <v>12000</v>
      </c>
      <c r="E27" s="26" t="n">
        <f aca="false">Annahmen!E34*Annahmen!$B$56</f>
        <v>13000</v>
      </c>
      <c r="F27" s="26" t="n">
        <f aca="false">Annahmen!F34*Annahmen!$B$56</f>
        <v>14000</v>
      </c>
    </row>
    <row r="28" customFormat="false" ht="15" hidden="false" customHeight="false" outlineLevel="0" collapsed="false">
      <c r="A28" s="7" t="s">
        <v>207</v>
      </c>
      <c r="B28" s="23" t="n">
        <f aca="false">SUM(B23:B27)</f>
        <v>75000</v>
      </c>
      <c r="C28" s="23" t="n">
        <f aca="false">SUM(C23:C27)</f>
        <v>100000</v>
      </c>
      <c r="D28" s="23" t="n">
        <f aca="false">SUM(D23:D27)</f>
        <v>122000</v>
      </c>
      <c r="E28" s="23" t="n">
        <f aca="false">SUM(E23:E27)</f>
        <v>130000</v>
      </c>
      <c r="F28" s="23" t="n">
        <f aca="false">SUM(F23:F27)</f>
        <v>136000</v>
      </c>
    </row>
    <row r="30" customFormat="false" ht="15" hidden="false" customHeight="false" outlineLevel="0" collapsed="false">
      <c r="A30" s="7" t="s">
        <v>208</v>
      </c>
      <c r="B30" s="25" t="n">
        <f aca="false">B17+B28</f>
        <v>360932.773109244</v>
      </c>
      <c r="C30" s="25" t="n">
        <f aca="false">C17+C28</f>
        <v>431663.865546219</v>
      </c>
      <c r="D30" s="25" t="n">
        <f aca="false">D17+D28</f>
        <v>493747.899159664</v>
      </c>
      <c r="E30" s="25" t="n">
        <f aca="false">E17+E28</f>
        <v>513818.487394958</v>
      </c>
      <c r="F30" s="25" t="n">
        <f aca="false">F17+F28</f>
        <v>526242.016806723</v>
      </c>
    </row>
    <row r="31" customFormat="false" ht="15" hidden="false" customHeight="false" outlineLevel="0" collapsed="false">
      <c r="A31" s="3" t="s">
        <v>209</v>
      </c>
      <c r="B31" s="29" t="n">
        <f aca="false">B28/B30</f>
        <v>0.207794929105259</v>
      </c>
      <c r="C31" s="29" t="n">
        <f aca="false">C28/C30</f>
        <v>0.231661734932254</v>
      </c>
      <c r="D31" s="29" t="n">
        <f aca="false">D28/D30</f>
        <v>0.24708965892845</v>
      </c>
      <c r="E31" s="29" t="n">
        <f aca="false">E28/E30</f>
        <v>0.253007634386796</v>
      </c>
      <c r="F31" s="29" t="n">
        <f aca="false">F28/F30</f>
        <v>0.25843622450609</v>
      </c>
      <c r="G31" s="3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4"/>
    <col collapsed="false" customWidth="true" hidden="false" outlineLevel="0" max="7" min="7" style="0" width="42"/>
  </cols>
  <sheetData>
    <row r="1" customFormat="false" ht="17.35" hidden="false" customHeight="false" outlineLevel="0" collapsed="false">
      <c r="A1" s="1" t="s">
        <v>211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4" t="s">
        <v>212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B4" s="20" t="s">
        <v>77</v>
      </c>
      <c r="C4" s="20" t="s">
        <v>78</v>
      </c>
      <c r="D4" s="20" t="s">
        <v>79</v>
      </c>
      <c r="E4" s="20" t="s">
        <v>80</v>
      </c>
      <c r="F4" s="20" t="s">
        <v>81</v>
      </c>
    </row>
    <row r="5" customFormat="false" ht="15" hidden="false" customHeight="false" outlineLevel="0" collapsed="false">
      <c r="A5" s="3" t="s">
        <v>213</v>
      </c>
      <c r="B5" s="27" t="n">
        <f aca="false">Annahmen!$B$38*(Annahmen!$B$39+Annahmen!$B$59+Annahmen!$B$40)*12*(1+Annahmen!$B$42)^0-Annahmen!$B$38*(Annahmen!$B$39+Annahmen!$B$59)*Annahmen!$B$41</f>
        <v>112350</v>
      </c>
      <c r="C5" s="27" t="n">
        <f aca="false">Annahmen!$B$38*(Annahmen!$B$39+Annahmen!$B$59+Annahmen!$B$40)*12*(1+Annahmen!$B$42)^0</f>
        <v>120600</v>
      </c>
      <c r="D5" s="27" t="n">
        <f aca="false">Annahmen!$B$38*(Annahmen!$B$39+Annahmen!$B$59+Annahmen!$B$40)*12*(1+Annahmen!$B$42)^1</f>
        <v>122409</v>
      </c>
      <c r="E5" s="27" t="n">
        <f aca="false">Annahmen!$B$38*(Annahmen!$B$39+Annahmen!$B$59+Annahmen!$B$40)*12*(1+Annahmen!$B$42)^2</f>
        <v>124245.135</v>
      </c>
      <c r="F5" s="27" t="n">
        <f aca="false">Annahmen!$B$38*(Annahmen!$B$39+Annahmen!$B$59+Annahmen!$B$40)*12*(1+Annahmen!$B$42)^3</f>
        <v>126108.812025</v>
      </c>
      <c r="G5" s="3" t="s">
        <v>214</v>
      </c>
    </row>
    <row r="6" customFormat="false" ht="15" hidden="false" customHeight="false" outlineLevel="0" collapsed="false">
      <c r="A6" s="3" t="s">
        <v>215</v>
      </c>
      <c r="B6" s="26" t="n">
        <f aca="false">Annahmen!B45*Annahmen!$B$58</f>
        <v>45000</v>
      </c>
      <c r="C6" s="26" t="n">
        <f aca="false">Annahmen!C45*Annahmen!$B$58</f>
        <v>47000</v>
      </c>
      <c r="D6" s="26" t="n">
        <f aca="false">Annahmen!D45*Annahmen!$B$58</f>
        <v>48000</v>
      </c>
      <c r="E6" s="26" t="n">
        <f aca="false">Annahmen!E45*Annahmen!$B$58</f>
        <v>49000</v>
      </c>
      <c r="F6" s="26" t="n">
        <f aca="false">Annahmen!F45*Annahmen!$B$58</f>
        <v>50000</v>
      </c>
    </row>
    <row r="7" customFormat="false" ht="15" hidden="false" customHeight="false" outlineLevel="0" collapsed="false">
      <c r="A7" s="3" t="s">
        <v>102</v>
      </c>
      <c r="B7" s="26" t="n">
        <f aca="false">Annahmen!B46</f>
        <v>92000</v>
      </c>
      <c r="C7" s="26" t="n">
        <f aca="false">Annahmen!C46</f>
        <v>112000</v>
      </c>
      <c r="D7" s="26" t="n">
        <f aca="false">Annahmen!D46</f>
        <v>126000</v>
      </c>
      <c r="E7" s="26" t="n">
        <f aca="false">Annahmen!E46</f>
        <v>132000</v>
      </c>
      <c r="F7" s="26" t="n">
        <f aca="false">Annahmen!F46</f>
        <v>136000</v>
      </c>
    </row>
    <row r="8" customFormat="false" ht="15" hidden="false" customHeight="false" outlineLevel="0" collapsed="false">
      <c r="A8" s="3" t="s">
        <v>104</v>
      </c>
      <c r="B8" s="26" t="n">
        <f aca="false">Annahmen!B47</f>
        <v>12000</v>
      </c>
      <c r="C8" s="26" t="n">
        <f aca="false">Annahmen!C47</f>
        <v>14000</v>
      </c>
      <c r="D8" s="26" t="n">
        <f aca="false">Annahmen!D47</f>
        <v>16000</v>
      </c>
      <c r="E8" s="26" t="n">
        <f aca="false">Annahmen!E47</f>
        <v>17000</v>
      </c>
      <c r="F8" s="26" t="n">
        <f aca="false">Annahmen!F47</f>
        <v>18000</v>
      </c>
    </row>
    <row r="9" customFormat="false" ht="15" hidden="false" customHeight="false" outlineLevel="0" collapsed="false">
      <c r="A9" s="3" t="s">
        <v>105</v>
      </c>
      <c r="B9" s="26" t="n">
        <f aca="false">Annahmen!B48</f>
        <v>13000</v>
      </c>
      <c r="C9" s="26" t="n">
        <f aca="false">Annahmen!C48</f>
        <v>15000</v>
      </c>
      <c r="D9" s="26" t="n">
        <f aca="false">Annahmen!D48</f>
        <v>17000</v>
      </c>
      <c r="E9" s="26" t="n">
        <f aca="false">Annahmen!E48</f>
        <v>18000</v>
      </c>
      <c r="F9" s="26" t="n">
        <f aca="false">Annahmen!F48</f>
        <v>18000</v>
      </c>
    </row>
    <row r="10" customFormat="false" ht="15" hidden="false" customHeight="false" outlineLevel="0" collapsed="false">
      <c r="A10" s="3" t="s">
        <v>106</v>
      </c>
      <c r="B10" s="26" t="n">
        <f aca="false">Annahmen!B49</f>
        <v>6000</v>
      </c>
      <c r="C10" s="26" t="n">
        <f aca="false">Annahmen!C49</f>
        <v>6000</v>
      </c>
      <c r="D10" s="26" t="n">
        <f aca="false">Annahmen!D49</f>
        <v>6000</v>
      </c>
      <c r="E10" s="26" t="n">
        <f aca="false">Annahmen!E49</f>
        <v>6000</v>
      </c>
      <c r="F10" s="26" t="n">
        <f aca="false">Annahmen!F49</f>
        <v>7000</v>
      </c>
    </row>
    <row r="11" customFormat="false" ht="15" hidden="false" customHeight="false" outlineLevel="0" collapsed="false">
      <c r="A11" s="3" t="s">
        <v>107</v>
      </c>
      <c r="B11" s="26" t="n">
        <f aca="false">Annahmen!B50</f>
        <v>20000</v>
      </c>
      <c r="C11" s="26" t="n">
        <f aca="false">Annahmen!C50</f>
        <v>15000</v>
      </c>
      <c r="D11" s="26" t="n">
        <f aca="false">Annahmen!D50</f>
        <v>14000</v>
      </c>
      <c r="E11" s="26" t="n">
        <f aca="false">Annahmen!E50</f>
        <v>14000</v>
      </c>
      <c r="F11" s="26" t="n">
        <f aca="false">Annahmen!F50</f>
        <v>14000</v>
      </c>
    </row>
    <row r="12" customFormat="false" ht="15" hidden="false" customHeight="false" outlineLevel="0" collapsed="false">
      <c r="A12" s="3" t="s">
        <v>108</v>
      </c>
      <c r="B12" s="26" t="n">
        <f aca="false">Annahmen!B51</f>
        <v>12000</v>
      </c>
      <c r="C12" s="26" t="n">
        <f aca="false">Annahmen!C51</f>
        <v>12000</v>
      </c>
      <c r="D12" s="26" t="n">
        <f aca="false">Annahmen!D51</f>
        <v>13000</v>
      </c>
      <c r="E12" s="26" t="n">
        <f aca="false">Annahmen!E51</f>
        <v>13000</v>
      </c>
      <c r="F12" s="26" t="n">
        <f aca="false">Annahmen!F51</f>
        <v>13000</v>
      </c>
    </row>
    <row r="13" customFormat="false" ht="15" hidden="false" customHeight="false" outlineLevel="0" collapsed="false">
      <c r="A13" s="3" t="s">
        <v>216</v>
      </c>
      <c r="B13" s="26" t="n">
        <f aca="false">Annahmen!B52</f>
        <v>6000</v>
      </c>
      <c r="C13" s="26" t="n">
        <f aca="false">Annahmen!C52</f>
        <v>7000</v>
      </c>
      <c r="D13" s="26" t="n">
        <f aca="false">Annahmen!D52</f>
        <v>8000</v>
      </c>
      <c r="E13" s="26" t="n">
        <f aca="false">Annahmen!E52</f>
        <v>8000</v>
      </c>
      <c r="F13" s="26" t="n">
        <f aca="false">Annahmen!F52</f>
        <v>8000</v>
      </c>
    </row>
    <row r="14" customFormat="false" ht="15" hidden="false" customHeight="false" outlineLevel="0" collapsed="false">
      <c r="A14" s="3" t="s">
        <v>217</v>
      </c>
      <c r="B14" s="27" t="n">
        <f aca="false">(Umsatz!B23+Umsatz!B26)*Annahmen!$B$53</f>
        <v>19760</v>
      </c>
      <c r="C14" s="27" t="n">
        <f aca="false">(Umsatz!C23+Umsatz!C26)*Annahmen!$B$53</f>
        <v>26000</v>
      </c>
      <c r="D14" s="27" t="n">
        <f aca="false">(Umsatz!D23+Umsatz!D26)*Annahmen!$B$53</f>
        <v>31720</v>
      </c>
      <c r="E14" s="27" t="n">
        <f aca="false">(Umsatz!E23+Umsatz!E26)*Annahmen!$B$53</f>
        <v>33800</v>
      </c>
      <c r="F14" s="27" t="n">
        <f aca="false">(Umsatz!F23+Umsatz!F26)*Annahmen!$B$53</f>
        <v>35360</v>
      </c>
    </row>
    <row r="15" customFormat="false" ht="15" hidden="false" customHeight="false" outlineLevel="0" collapsed="false">
      <c r="A15" s="7" t="s">
        <v>218</v>
      </c>
      <c r="B15" s="25" t="n">
        <f aca="false">SUM(B5:B14)</f>
        <v>338110</v>
      </c>
      <c r="C15" s="25" t="n">
        <f aca="false">SUM(C5:C14)</f>
        <v>374600</v>
      </c>
      <c r="D15" s="25" t="n">
        <f aca="false">SUM(D5:D14)</f>
        <v>402129</v>
      </c>
      <c r="E15" s="25" t="n">
        <f aca="false">SUM(E5:E14)</f>
        <v>415045.135</v>
      </c>
      <c r="F15" s="25" t="n">
        <f aca="false">SUM(F5:F14)</f>
        <v>425468.812025</v>
      </c>
    </row>
    <row r="17" customFormat="false" ht="15" hidden="false" customHeight="false" outlineLevel="0" collapsed="false">
      <c r="A17" s="3" t="s">
        <v>219</v>
      </c>
      <c r="B17" s="27" t="n">
        <f aca="false">B15-B14</f>
        <v>318350</v>
      </c>
      <c r="C17" s="27" t="n">
        <f aca="false">C15-C14</f>
        <v>348600</v>
      </c>
      <c r="D17" s="27" t="n">
        <f aca="false">D15-D14</f>
        <v>370409</v>
      </c>
      <c r="E17" s="27" t="n">
        <f aca="false">E15-E14</f>
        <v>381245.135</v>
      </c>
      <c r="F17" s="27" t="n">
        <f aca="false">F15-F14</f>
        <v>390108.812025</v>
      </c>
    </row>
    <row r="18" customFormat="false" ht="15" hidden="false" customHeight="false" outlineLevel="0" collapsed="false">
      <c r="A18" s="3" t="s">
        <v>220</v>
      </c>
      <c r="B18" s="29" t="n">
        <f aca="false">Annahmen!B46/Umsatz!B30</f>
        <v>0.254895113035785</v>
      </c>
      <c r="C18" s="29" t="n">
        <f aca="false">Annahmen!C46/Umsatz!C30</f>
        <v>0.259461143124124</v>
      </c>
      <c r="D18" s="29" t="n">
        <f aca="false">Annahmen!D46/Umsatz!D30</f>
        <v>0.255190959221186</v>
      </c>
      <c r="E18" s="29" t="n">
        <f aca="false">Annahmen!E46/Umsatz!E30</f>
        <v>0.256900059531208</v>
      </c>
      <c r="F18" s="29" t="n">
        <f aca="false">Annahmen!F46/Umsatz!F30</f>
        <v>0.25843622450609</v>
      </c>
    </row>
    <row r="19" customFormat="false" ht="15" hidden="false" customHeight="false" outlineLevel="0" collapsed="false">
      <c r="A19" s="3" t="s">
        <v>221</v>
      </c>
      <c r="B19" s="29" t="n">
        <f aca="false">B5/Umsatz!B30</f>
        <v>0.311276803799679</v>
      </c>
      <c r="C19" s="29" t="n">
        <f aca="false">C5/Umsatz!C30</f>
        <v>0.279384052328298</v>
      </c>
      <c r="D19" s="29" t="n">
        <f aca="false">D5/Umsatz!D30</f>
        <v>0.247918016883382</v>
      </c>
      <c r="E19" s="29" t="n">
        <f aca="false">E5/Umsatz!E30</f>
        <v>0.241807443772447</v>
      </c>
      <c r="F19" s="29" t="n">
        <f aca="false">F5/Umsatz!F30</f>
        <v>0.239640332769774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4"/>
    <col collapsed="false" customWidth="true" hidden="false" outlineLevel="0" max="7" min="7" style="0" width="42"/>
  </cols>
  <sheetData>
    <row r="1" customFormat="false" ht="17.35" hidden="false" customHeight="false" outlineLevel="0" collapsed="false">
      <c r="A1" s="1" t="s">
        <v>222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4" t="s">
        <v>223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B4" s="20" t="s">
        <v>77</v>
      </c>
      <c r="C4" s="20" t="s">
        <v>78</v>
      </c>
      <c r="D4" s="20" t="s">
        <v>79</v>
      </c>
      <c r="E4" s="20" t="s">
        <v>80</v>
      </c>
      <c r="F4" s="20" t="s">
        <v>81</v>
      </c>
    </row>
    <row r="5" customFormat="false" ht="15" hidden="false" customHeight="false" outlineLevel="0" collapsed="false">
      <c r="A5" s="3" t="s">
        <v>24</v>
      </c>
      <c r="B5" s="26" t="n">
        <f aca="false">Umsatz!B30</f>
        <v>360932.773109244</v>
      </c>
      <c r="C5" s="26" t="n">
        <f aca="false">Umsatz!C30</f>
        <v>431663.865546219</v>
      </c>
      <c r="D5" s="26" t="n">
        <f aca="false">Umsatz!D30</f>
        <v>493747.899159664</v>
      </c>
      <c r="E5" s="26" t="n">
        <f aca="false">Umsatz!E30</f>
        <v>513818.487394958</v>
      </c>
      <c r="F5" s="26" t="n">
        <f aca="false">Umsatz!F30</f>
        <v>526242.016806723</v>
      </c>
    </row>
    <row r="6" customFormat="false" ht="15" hidden="false" customHeight="false" outlineLevel="0" collapsed="false">
      <c r="A6" s="3" t="s">
        <v>224</v>
      </c>
      <c r="B6" s="26" t="n">
        <f aca="false">-Kosten!B15</f>
        <v>-338110</v>
      </c>
      <c r="C6" s="26" t="n">
        <f aca="false">-Kosten!C15</f>
        <v>-374600</v>
      </c>
      <c r="D6" s="26" t="n">
        <f aca="false">-Kosten!D15</f>
        <v>-402129</v>
      </c>
      <c r="E6" s="26" t="n">
        <f aca="false">-Kosten!E15</f>
        <v>-415045.135</v>
      </c>
      <c r="F6" s="26" t="n">
        <f aca="false">-Kosten!F15</f>
        <v>-425468.812025</v>
      </c>
    </row>
    <row r="7" customFormat="false" ht="15" hidden="false" customHeight="false" outlineLevel="0" collapsed="false">
      <c r="A7" s="7" t="s">
        <v>225</v>
      </c>
      <c r="B7" s="25" t="n">
        <f aca="false">B5+B6</f>
        <v>22822.7731092437</v>
      </c>
      <c r="C7" s="25" t="n">
        <f aca="false">C5+C6</f>
        <v>57063.8655462185</v>
      </c>
      <c r="D7" s="25" t="n">
        <f aca="false">D5+D6</f>
        <v>91618.8991596639</v>
      </c>
      <c r="E7" s="25" t="n">
        <f aca="false">E5+E6</f>
        <v>98773.3523949581</v>
      </c>
      <c r="F7" s="25" t="n">
        <f aca="false">F5+F6</f>
        <v>100773.204781723</v>
      </c>
    </row>
    <row r="8" customFormat="false" ht="15" hidden="false" customHeight="false" outlineLevel="0" collapsed="false">
      <c r="A8" s="3" t="s">
        <v>226</v>
      </c>
      <c r="B8" s="29" t="n">
        <f aca="false">IFERROR(B7/B5,0)</f>
        <v>0.0632327536029429</v>
      </c>
      <c r="C8" s="29" t="n">
        <f aca="false">IFERROR(C7/C5,0)</f>
        <v>0.132195140943778</v>
      </c>
      <c r="D8" s="29" t="n">
        <f aca="false">IFERROR(D7/D5,0)</f>
        <v>0.185558053645585</v>
      </c>
      <c r="E8" s="29" t="n">
        <f aca="false">IFERROR(E7/E5,0)</f>
        <v>0.192233940230013</v>
      </c>
      <c r="F8" s="29" t="n">
        <f aca="false">IFERROR(F7/F5,0)</f>
        <v>0.191495930699761</v>
      </c>
    </row>
    <row r="9" customFormat="false" ht="15" hidden="false" customHeight="false" outlineLevel="0" collapsed="false">
      <c r="A9" s="3" t="s">
        <v>227</v>
      </c>
      <c r="B9" s="26" t="n">
        <f aca="false">-Investition!$B$26</f>
        <v>-50225.1</v>
      </c>
      <c r="C9" s="26" t="n">
        <f aca="false">-Investition!$B$26</f>
        <v>-50225.1</v>
      </c>
      <c r="D9" s="26" t="n">
        <f aca="false">-Investition!$B$26</f>
        <v>-50225.1</v>
      </c>
      <c r="E9" s="26" t="n">
        <f aca="false">-Investition!$B$26</f>
        <v>-50225.1</v>
      </c>
      <c r="F9" s="26" t="n">
        <f aca="false">-Investition!$B$26</f>
        <v>-50225.1</v>
      </c>
    </row>
    <row r="10" customFormat="false" ht="15" hidden="false" customHeight="false" outlineLevel="0" collapsed="false">
      <c r="A10" s="3" t="s">
        <v>228</v>
      </c>
      <c r="B10" s="26" t="n">
        <f aca="false">-Finanzierung!B41</f>
        <v>-25403.5</v>
      </c>
      <c r="C10" s="26" t="n">
        <f aca="false">-Finanzierung!C41</f>
        <v>-24289.2142857143</v>
      </c>
      <c r="D10" s="26" t="n">
        <f aca="false">-Finanzierung!D41</f>
        <v>-23174.9285714286</v>
      </c>
      <c r="E10" s="26" t="n">
        <f aca="false">-Finanzierung!E41</f>
        <v>-21279.3928571429</v>
      </c>
      <c r="F10" s="26" t="n">
        <f aca="false">-Finanzierung!F41</f>
        <v>-18437.7321428571</v>
      </c>
    </row>
    <row r="11" customFormat="false" ht="15" hidden="false" customHeight="false" outlineLevel="0" collapsed="false">
      <c r="A11" s="7" t="s">
        <v>229</v>
      </c>
      <c r="B11" s="23" t="n">
        <f aca="false">B7+B9+B10</f>
        <v>-52805.8268907563</v>
      </c>
      <c r="C11" s="23" t="n">
        <f aca="false">C7+C9+C10</f>
        <v>-17450.4487394958</v>
      </c>
      <c r="D11" s="23" t="n">
        <f aca="false">D7+D9+D10</f>
        <v>18218.8705882353</v>
      </c>
      <c r="E11" s="23" t="n">
        <f aca="false">E7+E9+E10</f>
        <v>27268.8595378152</v>
      </c>
      <c r="F11" s="23" t="n">
        <f aca="false">F7+F9+F10</f>
        <v>32110.3726388658</v>
      </c>
    </row>
    <row r="12" customFormat="false" ht="15" hidden="false" customHeight="false" outlineLevel="0" collapsed="false">
      <c r="A12" s="30" t="s">
        <v>230</v>
      </c>
      <c r="B12" s="22" t="n">
        <v>0</v>
      </c>
      <c r="C12" s="27" t="n">
        <f aca="false">B14</f>
        <v>52805.8268907563</v>
      </c>
      <c r="D12" s="27" t="n">
        <f aca="false">C14</f>
        <v>70256.275630252</v>
      </c>
      <c r="E12" s="27" t="n">
        <f aca="false">D14</f>
        <v>52037.4050420167</v>
      </c>
      <c r="F12" s="27" t="n">
        <f aca="false">E14</f>
        <v>24768.5455042015</v>
      </c>
    </row>
    <row r="13" customFormat="false" ht="15" hidden="false" customHeight="false" outlineLevel="0" collapsed="false">
      <c r="A13" s="30" t="s">
        <v>231</v>
      </c>
      <c r="B13" s="27" t="n">
        <f aca="false">-MAX(0,B11-B12)*Annahmen!$B$64</f>
        <v>-0</v>
      </c>
      <c r="C13" s="27" t="n">
        <f aca="false">-MAX(0,C11-C12)*Annahmen!$B$64</f>
        <v>-0</v>
      </c>
      <c r="D13" s="27" t="n">
        <f aca="false">-MAX(0,D11-D12)*Annahmen!$B$64</f>
        <v>-0</v>
      </c>
      <c r="E13" s="27" t="n">
        <f aca="false">-MAX(0,E11-E12)*Annahmen!$B$64</f>
        <v>-0</v>
      </c>
      <c r="F13" s="27" t="n">
        <f aca="false">-MAX(0,F11-F12)*Annahmen!$B$64</f>
        <v>-2202.54814039928</v>
      </c>
    </row>
    <row r="14" customFormat="false" ht="15" hidden="false" customHeight="false" outlineLevel="0" collapsed="false">
      <c r="A14" s="30" t="s">
        <v>232</v>
      </c>
      <c r="B14" s="27" t="n">
        <f aca="false">MAX(0,B12-B11)</f>
        <v>52805.8268907563</v>
      </c>
      <c r="C14" s="27" t="n">
        <f aca="false">MAX(0,C12-C11)</f>
        <v>70256.275630252</v>
      </c>
      <c r="D14" s="27" t="n">
        <f aca="false">MAX(0,D12-D11)</f>
        <v>52037.4050420167</v>
      </c>
      <c r="E14" s="27" t="n">
        <f aca="false">MAX(0,E12-E11)</f>
        <v>24768.5455042015</v>
      </c>
      <c r="F14" s="27" t="n">
        <f aca="false">MAX(0,F12-F11)</f>
        <v>0</v>
      </c>
    </row>
    <row r="15" customFormat="false" ht="15" hidden="false" customHeight="false" outlineLevel="0" collapsed="false">
      <c r="A15" s="7" t="s">
        <v>233</v>
      </c>
      <c r="B15" s="23" t="n">
        <f aca="false">B11+B13</f>
        <v>-52805.8268907563</v>
      </c>
      <c r="C15" s="23" t="n">
        <f aca="false">C11+C13</f>
        <v>-17450.4487394958</v>
      </c>
      <c r="D15" s="23" t="n">
        <f aca="false">D11+D13</f>
        <v>18218.8705882353</v>
      </c>
      <c r="E15" s="23" t="n">
        <f aca="false">E11+E13</f>
        <v>27268.8595378152</v>
      </c>
      <c r="F15" s="23" t="n">
        <f aca="false">F11+F13</f>
        <v>29907.8244984665</v>
      </c>
    </row>
    <row r="17" customFormat="false" ht="15" hidden="false" customHeight="false" outlineLevel="0" collapsed="false">
      <c r="A17" s="4" t="s">
        <v>234</v>
      </c>
      <c r="B17" s="5"/>
      <c r="C17" s="5"/>
      <c r="D17" s="5"/>
      <c r="E17" s="5"/>
      <c r="F17" s="5"/>
      <c r="G17" s="5"/>
    </row>
    <row r="18" customFormat="false" ht="15" hidden="false" customHeight="false" outlineLevel="0" collapsed="false">
      <c r="B18" s="20" t="s">
        <v>77</v>
      </c>
      <c r="C18" s="20" t="s">
        <v>78</v>
      </c>
      <c r="D18" s="20" t="s">
        <v>79</v>
      </c>
      <c r="E18" s="20" t="s">
        <v>80</v>
      </c>
      <c r="F18" s="20" t="s">
        <v>81</v>
      </c>
    </row>
    <row r="19" customFormat="false" ht="15" hidden="false" customHeight="false" outlineLevel="0" collapsed="false">
      <c r="A19" s="3" t="s">
        <v>225</v>
      </c>
      <c r="B19" s="27" t="n">
        <f aca="false">B7</f>
        <v>22822.7731092437</v>
      </c>
      <c r="C19" s="27" t="n">
        <f aca="false">C7</f>
        <v>57063.8655462185</v>
      </c>
      <c r="D19" s="27" t="n">
        <f aca="false">D7</f>
        <v>91618.8991596639</v>
      </c>
      <c r="E19" s="27" t="n">
        <f aca="false">E7</f>
        <v>98773.3523949581</v>
      </c>
      <c r="F19" s="27" t="n">
        <f aca="false">F7</f>
        <v>100773.204781723</v>
      </c>
    </row>
    <row r="20" customFormat="false" ht="15" hidden="false" customHeight="false" outlineLevel="0" collapsed="false">
      <c r="A20" s="3" t="s">
        <v>235</v>
      </c>
      <c r="B20" s="26" t="n">
        <f aca="false">-Finanzierung!B43</f>
        <v>-43974.9285714286</v>
      </c>
      <c r="C20" s="26" t="n">
        <f aca="false">-Finanzierung!C43</f>
        <v>-42860.6428571429</v>
      </c>
      <c r="D20" s="26" t="n">
        <f aca="false">-Finanzierung!D43</f>
        <v>-57371.3571428571</v>
      </c>
      <c r="E20" s="26" t="n">
        <f aca="false">-Finanzierung!E43</f>
        <v>-76500.8214285714</v>
      </c>
      <c r="F20" s="26" t="n">
        <f aca="false">-Finanzierung!F43</f>
        <v>-73659.1607142857</v>
      </c>
    </row>
    <row r="21" customFormat="false" ht="15" hidden="false" customHeight="false" outlineLevel="0" collapsed="false">
      <c r="A21" s="3" t="s">
        <v>236</v>
      </c>
      <c r="B21" s="27" t="n">
        <f aca="false">B13</f>
        <v>-0</v>
      </c>
      <c r="C21" s="27" t="n">
        <f aca="false">C13</f>
        <v>-0</v>
      </c>
      <c r="D21" s="27" t="n">
        <f aca="false">D13</f>
        <v>-0</v>
      </c>
      <c r="E21" s="27" t="n">
        <f aca="false">E13</f>
        <v>-0</v>
      </c>
      <c r="F21" s="27" t="n">
        <f aca="false">F13</f>
        <v>-2202.54814039928</v>
      </c>
    </row>
    <row r="22" customFormat="false" ht="15" hidden="false" customHeight="false" outlineLevel="0" collapsed="false">
      <c r="A22" s="7" t="s">
        <v>237</v>
      </c>
      <c r="B22" s="25" t="n">
        <f aca="false">B19+B20+B21</f>
        <v>-21152.1554621849</v>
      </c>
      <c r="C22" s="25" t="n">
        <f aca="false">C19+C20+C21</f>
        <v>14203.2226890757</v>
      </c>
      <c r="D22" s="25" t="n">
        <f aca="false">D19+D20+D21</f>
        <v>34247.5420168067</v>
      </c>
      <c r="E22" s="25" t="n">
        <f aca="false">E19+E20+E21</f>
        <v>22272.5309663867</v>
      </c>
      <c r="F22" s="25" t="n">
        <f aca="false">F19+F20+F21</f>
        <v>24911.4959270379</v>
      </c>
    </row>
    <row r="23" customFormat="false" ht="15" hidden="false" customHeight="false" outlineLevel="0" collapsed="false">
      <c r="A23" s="3" t="s">
        <v>238</v>
      </c>
      <c r="B23" s="27" t="n">
        <f aca="false">B22</f>
        <v>-21152.1554621849</v>
      </c>
      <c r="C23" s="27" t="n">
        <f aca="false">B23+C22</f>
        <v>-6948.93277310918</v>
      </c>
      <c r="D23" s="27" t="n">
        <f aca="false">C23+D22</f>
        <v>27298.6092436976</v>
      </c>
      <c r="E23" s="27" t="n">
        <f aca="false">D23+E22</f>
        <v>49571.1402100842</v>
      </c>
      <c r="F23" s="27" t="n">
        <f aca="false">E23+F22</f>
        <v>74482.6361371221</v>
      </c>
    </row>
    <row r="24" customFormat="false" ht="15" hidden="false" customHeight="false" outlineLevel="0" collapsed="false">
      <c r="A24" s="7" t="s">
        <v>239</v>
      </c>
      <c r="B24" s="23" t="n">
        <f aca="false">Investition!$B$21+B22</f>
        <v>58847.8445378151</v>
      </c>
      <c r="C24" s="23" t="n">
        <f aca="false">B24+C22</f>
        <v>73051.0672268908</v>
      </c>
      <c r="D24" s="23" t="n">
        <f aca="false">C24+D22</f>
        <v>107298.609243698</v>
      </c>
      <c r="E24" s="23" t="n">
        <f aca="false">D24+E22</f>
        <v>129571.140210084</v>
      </c>
      <c r="F24" s="23" t="n">
        <f aca="false">E24+F22</f>
        <v>154482.636137122</v>
      </c>
      <c r="G24" s="3" t="s">
        <v>240</v>
      </c>
    </row>
    <row r="25" customFormat="false" ht="15" hidden="false" customHeight="false" outlineLevel="0" collapsed="false">
      <c r="A25" s="3" t="s">
        <v>241</v>
      </c>
      <c r="B25" s="32" t="n">
        <f aca="false">IFERROR(B24/(Kosten!B17/12),0)</f>
        <v>2.21823192854965</v>
      </c>
      <c r="C25" s="32" t="n">
        <f aca="false">IFERROR(C24/(Kosten!C17/12),0)</f>
        <v>2.51466668595149</v>
      </c>
      <c r="D25" s="32" t="n">
        <f aca="false">IFERROR(D24/(Kosten!D17/12),0)</f>
        <v>3.47611238097447</v>
      </c>
      <c r="E25" s="32" t="n">
        <f aca="false">IFERROR(E24/(Kosten!E17/12),0)</f>
        <v>4.07835678354561</v>
      </c>
      <c r="F25" s="32" t="n">
        <f aca="false">IFERROR(F24/(Kosten!F17/12),0)</f>
        <v>4.75198605235984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1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243</v>
      </c>
    </row>
    <row r="4" customFormat="false" ht="15" hidden="false" customHeight="false" outlineLevel="0" collapsed="false">
      <c r="B4" s="16" t="s">
        <v>244</v>
      </c>
      <c r="C4" s="16" t="s">
        <v>245</v>
      </c>
      <c r="D4" s="16" t="s">
        <v>246</v>
      </c>
      <c r="E4" s="16" t="s">
        <v>247</v>
      </c>
      <c r="F4" s="16" t="s">
        <v>248</v>
      </c>
      <c r="G4" s="16" t="s">
        <v>249</v>
      </c>
      <c r="H4" s="16" t="s">
        <v>250</v>
      </c>
      <c r="I4" s="16" t="s">
        <v>251</v>
      </c>
      <c r="J4" s="16" t="s">
        <v>252</v>
      </c>
      <c r="K4" s="16" t="s">
        <v>253</v>
      </c>
      <c r="L4" s="16" t="s">
        <v>254</v>
      </c>
      <c r="M4" s="16" t="s">
        <v>255</v>
      </c>
      <c r="N4" s="16" t="s">
        <v>256</v>
      </c>
    </row>
    <row r="5" customFormat="false" ht="15" hidden="false" customHeight="false" outlineLevel="0" collapsed="false">
      <c r="A5" s="3" t="s">
        <v>257</v>
      </c>
      <c r="B5" s="21" t="n">
        <v>0.1</v>
      </c>
      <c r="C5" s="21" t="n">
        <v>0.095</v>
      </c>
      <c r="D5" s="21" t="n">
        <v>0.095</v>
      </c>
      <c r="E5" s="21" t="n">
        <v>0.08</v>
      </c>
      <c r="F5" s="21" t="n">
        <v>0.07</v>
      </c>
      <c r="G5" s="21" t="n">
        <v>0.06</v>
      </c>
      <c r="H5" s="21" t="n">
        <v>0.05</v>
      </c>
      <c r="I5" s="21" t="n">
        <v>0.05</v>
      </c>
      <c r="J5" s="21" t="n">
        <v>0.08</v>
      </c>
      <c r="K5" s="21" t="n">
        <v>0.1</v>
      </c>
      <c r="L5" s="21" t="n">
        <v>0.11</v>
      </c>
      <c r="M5" s="21" t="n">
        <v>0.11</v>
      </c>
      <c r="N5" s="33" t="n">
        <f aca="false">SUM(B5:M5)</f>
        <v>1</v>
      </c>
    </row>
    <row r="6" customFormat="false" ht="15" hidden="false" customHeight="false" outlineLevel="0" collapsed="false">
      <c r="A6" s="3" t="s">
        <v>258</v>
      </c>
    </row>
    <row r="7" customFormat="false" ht="15" hidden="false" customHeight="false" outlineLevel="0" collapsed="false">
      <c r="A7" s="3" t="s">
        <v>259</v>
      </c>
      <c r="B7" s="27" t="n">
        <f aca="false">GuV_Cashflow!$B$5*B5</f>
        <v>36093.2773109244</v>
      </c>
      <c r="C7" s="27" t="n">
        <f aca="false">GuV_Cashflow!$B$5*C5</f>
        <v>34288.6134453782</v>
      </c>
      <c r="D7" s="27" t="n">
        <f aca="false">GuV_Cashflow!$B$5*D5</f>
        <v>34288.6134453782</v>
      </c>
      <c r="E7" s="27" t="n">
        <f aca="false">GuV_Cashflow!$B$5*E5</f>
        <v>28874.6218487395</v>
      </c>
      <c r="F7" s="27" t="n">
        <f aca="false">GuV_Cashflow!$B$5*F5</f>
        <v>25265.2941176471</v>
      </c>
      <c r="G7" s="27" t="n">
        <f aca="false">GuV_Cashflow!$B$5*G5</f>
        <v>21655.9663865546</v>
      </c>
      <c r="H7" s="27" t="n">
        <f aca="false">GuV_Cashflow!$B$5*H5</f>
        <v>18046.6386554622</v>
      </c>
      <c r="I7" s="27" t="n">
        <f aca="false">GuV_Cashflow!$B$5*I5</f>
        <v>18046.6386554622</v>
      </c>
      <c r="J7" s="27" t="n">
        <f aca="false">GuV_Cashflow!$B$5*J5</f>
        <v>28874.6218487395</v>
      </c>
      <c r="K7" s="27" t="n">
        <f aca="false">GuV_Cashflow!$B$5*K5</f>
        <v>36093.2773109244</v>
      </c>
      <c r="L7" s="27" t="n">
        <f aca="false">GuV_Cashflow!$B$5*L5</f>
        <v>39702.6050420168</v>
      </c>
      <c r="M7" s="27" t="n">
        <f aca="false">GuV_Cashflow!$B$5*M5</f>
        <v>39702.6050420168</v>
      </c>
      <c r="N7" s="23" t="n">
        <f aca="false">SUM(B7:M7)</f>
        <v>360932.773109244</v>
      </c>
    </row>
    <row r="8" customFormat="false" ht="15" hidden="false" customHeight="false" outlineLevel="0" collapsed="false">
      <c r="A8" s="3" t="s">
        <v>260</v>
      </c>
      <c r="B8" s="27" t="n">
        <f aca="false">-Kosten!$B$17/12</f>
        <v>-26529.1666666667</v>
      </c>
      <c r="C8" s="27" t="n">
        <f aca="false">-Kosten!$B$17/12</f>
        <v>-26529.1666666667</v>
      </c>
      <c r="D8" s="27" t="n">
        <f aca="false">-Kosten!$B$17/12</f>
        <v>-26529.1666666667</v>
      </c>
      <c r="E8" s="27" t="n">
        <f aca="false">-Kosten!$B$17/12</f>
        <v>-26529.1666666667</v>
      </c>
      <c r="F8" s="27" t="n">
        <f aca="false">-Kosten!$B$17/12</f>
        <v>-26529.1666666667</v>
      </c>
      <c r="G8" s="27" t="n">
        <f aca="false">-Kosten!$B$17/12</f>
        <v>-26529.1666666667</v>
      </c>
      <c r="H8" s="27" t="n">
        <f aca="false">-Kosten!$B$17/12</f>
        <v>-26529.1666666667</v>
      </c>
      <c r="I8" s="27" t="n">
        <f aca="false">-Kosten!$B$17/12</f>
        <v>-26529.1666666667</v>
      </c>
      <c r="J8" s="27" t="n">
        <f aca="false">-Kosten!$B$17/12</f>
        <v>-26529.1666666667</v>
      </c>
      <c r="K8" s="27" t="n">
        <f aca="false">-Kosten!$B$17/12</f>
        <v>-26529.1666666667</v>
      </c>
      <c r="L8" s="27" t="n">
        <f aca="false">-Kosten!$B$17/12</f>
        <v>-26529.1666666667</v>
      </c>
      <c r="M8" s="27" t="n">
        <f aca="false">-Kosten!$B$17/12</f>
        <v>-26529.1666666667</v>
      </c>
      <c r="N8" s="23" t="n">
        <f aca="false">SUM(B8:M8)</f>
        <v>-318350</v>
      </c>
    </row>
    <row r="9" customFormat="false" ht="15" hidden="false" customHeight="false" outlineLevel="0" collapsed="false">
      <c r="A9" s="3" t="s">
        <v>261</v>
      </c>
      <c r="B9" s="27" t="n">
        <f aca="false">-Kosten!$B$14*B5</f>
        <v>-1976</v>
      </c>
      <c r="C9" s="27" t="n">
        <f aca="false">-Kosten!$B$14*C5</f>
        <v>-1877.2</v>
      </c>
      <c r="D9" s="27" t="n">
        <f aca="false">-Kosten!$B$14*D5</f>
        <v>-1877.2</v>
      </c>
      <c r="E9" s="27" t="n">
        <f aca="false">-Kosten!$B$14*E5</f>
        <v>-1580.8</v>
      </c>
      <c r="F9" s="27" t="n">
        <f aca="false">-Kosten!$B$14*F5</f>
        <v>-1383.2</v>
      </c>
      <c r="G9" s="27" t="n">
        <f aca="false">-Kosten!$B$14*G5</f>
        <v>-1185.6</v>
      </c>
      <c r="H9" s="27" t="n">
        <f aca="false">-Kosten!$B$14*H5</f>
        <v>-988</v>
      </c>
      <c r="I9" s="27" t="n">
        <f aca="false">-Kosten!$B$14*I5</f>
        <v>-988</v>
      </c>
      <c r="J9" s="27" t="n">
        <f aca="false">-Kosten!$B$14*J5</f>
        <v>-1580.8</v>
      </c>
      <c r="K9" s="27" t="n">
        <f aca="false">-Kosten!$B$14*K5</f>
        <v>-1976</v>
      </c>
      <c r="L9" s="27" t="n">
        <f aca="false">-Kosten!$B$14*L5</f>
        <v>-2173.6</v>
      </c>
      <c r="M9" s="27" t="n">
        <f aca="false">-Kosten!$B$14*M5</f>
        <v>-2173.6</v>
      </c>
      <c r="N9" s="23" t="n">
        <f aca="false">SUM(B9:M9)</f>
        <v>-19760</v>
      </c>
    </row>
    <row r="10" customFormat="false" ht="15" hidden="false" customHeight="false" outlineLevel="0" collapsed="false">
      <c r="A10" s="3" t="s">
        <v>196</v>
      </c>
      <c r="B10" s="27" t="n">
        <f aca="false">-Finanzierung!$B$43/12</f>
        <v>-3664.57738095238</v>
      </c>
      <c r="C10" s="27" t="n">
        <f aca="false">-Finanzierung!$B$43/12</f>
        <v>-3664.57738095238</v>
      </c>
      <c r="D10" s="27" t="n">
        <f aca="false">-Finanzierung!$B$43/12</f>
        <v>-3664.57738095238</v>
      </c>
      <c r="E10" s="27" t="n">
        <f aca="false">-Finanzierung!$B$43/12</f>
        <v>-3664.57738095238</v>
      </c>
      <c r="F10" s="27" t="n">
        <f aca="false">-Finanzierung!$B$43/12</f>
        <v>-3664.57738095238</v>
      </c>
      <c r="G10" s="27" t="n">
        <f aca="false">-Finanzierung!$B$43/12</f>
        <v>-3664.57738095238</v>
      </c>
      <c r="H10" s="27" t="n">
        <f aca="false">-Finanzierung!$B$43/12</f>
        <v>-3664.57738095238</v>
      </c>
      <c r="I10" s="27" t="n">
        <f aca="false">-Finanzierung!$B$43/12</f>
        <v>-3664.57738095238</v>
      </c>
      <c r="J10" s="27" t="n">
        <f aca="false">-Finanzierung!$B$43/12</f>
        <v>-3664.57738095238</v>
      </c>
      <c r="K10" s="27" t="n">
        <f aca="false">-Finanzierung!$B$43/12</f>
        <v>-3664.57738095238</v>
      </c>
      <c r="L10" s="27" t="n">
        <f aca="false">-Finanzierung!$B$43/12</f>
        <v>-3664.57738095238</v>
      </c>
      <c r="M10" s="27" t="n">
        <f aca="false">-Finanzierung!$B$43/12</f>
        <v>-3664.57738095238</v>
      </c>
      <c r="N10" s="23" t="n">
        <f aca="false">SUM(B10:M10)</f>
        <v>-43974.9285714286</v>
      </c>
    </row>
    <row r="11" customFormat="false" ht="15" hidden="false" customHeight="false" outlineLevel="0" collapsed="false">
      <c r="A11" s="7" t="s">
        <v>262</v>
      </c>
      <c r="B11" s="23" t="n">
        <f aca="false">SUM(B7:B10)</f>
        <v>3923.53326330532</v>
      </c>
      <c r="C11" s="23" t="n">
        <f aca="false">SUM(C7:C10)</f>
        <v>2217.66939775911</v>
      </c>
      <c r="D11" s="23" t="n">
        <f aca="false">SUM(D7:D10)</f>
        <v>2217.66939775911</v>
      </c>
      <c r="E11" s="23" t="n">
        <f aca="false">SUM(E7:E10)</f>
        <v>-2899.92219887955</v>
      </c>
      <c r="F11" s="23" t="n">
        <f aca="false">SUM(F7:F10)</f>
        <v>-6311.64992997199</v>
      </c>
      <c r="G11" s="23" t="n">
        <f aca="false">SUM(G7:G10)</f>
        <v>-9723.37766106443</v>
      </c>
      <c r="H11" s="23" t="n">
        <f aca="false">SUM(H7:H10)</f>
        <v>-13135.1053921569</v>
      </c>
      <c r="I11" s="23" t="n">
        <f aca="false">SUM(I7:I10)</f>
        <v>-13135.1053921569</v>
      </c>
      <c r="J11" s="23" t="n">
        <f aca="false">SUM(J7:J10)</f>
        <v>-2899.92219887955</v>
      </c>
      <c r="K11" s="23" t="n">
        <f aca="false">SUM(K7:K10)</f>
        <v>3923.53326330532</v>
      </c>
      <c r="L11" s="23" t="n">
        <f aca="false">SUM(L7:L10)</f>
        <v>7335.26099439776</v>
      </c>
      <c r="M11" s="23" t="n">
        <f aca="false">SUM(M7:M10)</f>
        <v>7335.26099439776</v>
      </c>
      <c r="N11" s="23" t="n">
        <f aca="false">SUM(B11:M11)</f>
        <v>-21152.1554621849</v>
      </c>
    </row>
    <row r="12" customFormat="false" ht="15" hidden="false" customHeight="false" outlineLevel="0" collapsed="false">
      <c r="A12" s="7" t="s">
        <v>263</v>
      </c>
      <c r="B12" s="25" t="n">
        <f aca="false">Investition!$B$21+B11</f>
        <v>83923.5332633053</v>
      </c>
      <c r="C12" s="25" t="n">
        <f aca="false">B12+C11</f>
        <v>86141.2026610644</v>
      </c>
      <c r="D12" s="25" t="n">
        <f aca="false">C12+D11</f>
        <v>88358.8720588235</v>
      </c>
      <c r="E12" s="25" t="n">
        <f aca="false">D12+E11</f>
        <v>85458.949859944</v>
      </c>
      <c r="F12" s="25" t="n">
        <f aca="false">E12+F11</f>
        <v>79147.299929972</v>
      </c>
      <c r="G12" s="25" t="n">
        <f aca="false">F12+G11</f>
        <v>69423.9222689076</v>
      </c>
      <c r="H12" s="25" t="n">
        <f aca="false">G12+H11</f>
        <v>56288.8168767507</v>
      </c>
      <c r="I12" s="25" t="n">
        <f aca="false">H12+I11</f>
        <v>43153.7114845938</v>
      </c>
      <c r="J12" s="25" t="n">
        <f aca="false">I12+J11</f>
        <v>40253.7892857143</v>
      </c>
      <c r="K12" s="25" t="n">
        <f aca="false">J12+K11</f>
        <v>44177.3225490196</v>
      </c>
      <c r="L12" s="25" t="n">
        <f aca="false">K12+L11</f>
        <v>51512.5835434174</v>
      </c>
      <c r="M12" s="25" t="n">
        <f aca="false">L12+M11</f>
        <v>58847.8445378151</v>
      </c>
    </row>
    <row r="14" customFormat="false" ht="15" hidden="false" customHeight="false" outlineLevel="0" collapsed="false">
      <c r="A14" s="7" t="s">
        <v>264</v>
      </c>
      <c r="B14" s="23" t="n">
        <f aca="false">MIN(B12:M12)</f>
        <v>40253.7892857143</v>
      </c>
    </row>
    <row r="15" customFormat="false" ht="15" hidden="false" customHeight="false" outlineLevel="0" collapsed="false">
      <c r="A15" s="3" t="s">
        <v>265</v>
      </c>
    </row>
    <row r="16" customFormat="false" ht="15" hidden="false" customHeight="false" outlineLevel="0" collapsed="false">
      <c r="A16" s="3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267</v>
      </c>
      <c r="B1" s="2"/>
      <c r="C1" s="2"/>
      <c r="D1" s="2"/>
    </row>
    <row r="3" customFormat="false" ht="15" hidden="false" customHeight="false" outlineLevel="0" collapsed="false">
      <c r="A3" s="4" t="s">
        <v>268</v>
      </c>
      <c r="B3" s="5"/>
      <c r="C3" s="5"/>
      <c r="D3" s="5"/>
    </row>
    <row r="4" customFormat="false" ht="15" hidden="false" customHeight="false" outlineLevel="0" collapsed="false">
      <c r="A4" s="3" t="s">
        <v>269</v>
      </c>
      <c r="B4" s="26" t="n">
        <f aca="false">Kosten!D17</f>
        <v>370409</v>
      </c>
      <c r="D4" s="3"/>
    </row>
    <row r="5" customFormat="false" ht="15" hidden="false" customHeight="false" outlineLevel="0" collapsed="false">
      <c r="A5" s="3" t="s">
        <v>270</v>
      </c>
      <c r="B5" s="26" t="n">
        <f aca="false">Finanzierung!D43</f>
        <v>57371.3571428571</v>
      </c>
      <c r="D5" s="3"/>
    </row>
    <row r="6" customFormat="false" ht="15" hidden="false" customHeight="false" outlineLevel="0" collapsed="false">
      <c r="A6" s="7" t="s">
        <v>271</v>
      </c>
      <c r="B6" s="23" t="n">
        <f aca="false">B4+B5</f>
        <v>427780.357142857</v>
      </c>
    </row>
    <row r="7" customFormat="false" ht="15" hidden="false" customHeight="false" outlineLevel="0" collapsed="false">
      <c r="A7" s="3" t="s">
        <v>272</v>
      </c>
      <c r="B7" s="26" t="n">
        <f aca="false">-(Umsatz!D28-Kosten!D14)</f>
        <v>-90280</v>
      </c>
    </row>
    <row r="8" customFormat="false" ht="15" hidden="false" customHeight="false" outlineLevel="0" collapsed="false">
      <c r="A8" s="7" t="s">
        <v>273</v>
      </c>
      <c r="B8" s="23" t="n">
        <f aca="false">B6+B7</f>
        <v>337500.357142857</v>
      </c>
    </row>
    <row r="9" customFormat="false" ht="15" hidden="false" customHeight="false" outlineLevel="0" collapsed="false">
      <c r="A9" s="3" t="s">
        <v>204</v>
      </c>
      <c r="B9" s="34" t="n">
        <f aca="false">Umsatz!D18</f>
        <v>31.6381190774182</v>
      </c>
    </row>
    <row r="10" customFormat="false" ht="15" hidden="false" customHeight="false" outlineLevel="0" collapsed="false">
      <c r="A10" s="3" t="s">
        <v>274</v>
      </c>
      <c r="B10" s="13" t="n">
        <f aca="false">IFERROR(B8/B9,0)</f>
        <v>10667.5228169221</v>
      </c>
    </row>
    <row r="11" customFormat="false" ht="15" hidden="false" customHeight="false" outlineLevel="0" collapsed="false">
      <c r="A11" s="3" t="s">
        <v>275</v>
      </c>
      <c r="B11" s="35" t="n">
        <f aca="false">Annahmen!B12</f>
        <v>23104</v>
      </c>
    </row>
    <row r="12" customFormat="false" ht="15" hidden="false" customHeight="false" outlineLevel="0" collapsed="false">
      <c r="A12" s="7" t="s">
        <v>276</v>
      </c>
      <c r="B12" s="31" t="n">
        <f aca="false">IFERROR(B10/B11,0)</f>
        <v>0.461717573447113</v>
      </c>
    </row>
    <row r="13" customFormat="false" ht="15" hidden="false" customHeight="false" outlineLevel="0" collapsed="false">
      <c r="A13" s="3" t="s">
        <v>277</v>
      </c>
      <c r="B13" s="36" t="n">
        <f aca="false">Umsatz!D9</f>
        <v>0.508569944598338</v>
      </c>
    </row>
    <row r="14" customFormat="false" ht="15" hidden="false" customHeight="false" outlineLevel="0" collapsed="false">
      <c r="A14" s="7" t="s">
        <v>278</v>
      </c>
      <c r="B14" s="33" t="n">
        <f aca="false">B13-B12</f>
        <v>0.0468523711512248</v>
      </c>
      <c r="D14" s="3" t="s">
        <v>279</v>
      </c>
    </row>
    <row r="16" customFormat="false" ht="15" hidden="false" customHeight="false" outlineLevel="0" collapsed="false">
      <c r="A16" s="4" t="s">
        <v>280</v>
      </c>
      <c r="B16" s="5"/>
      <c r="C16" s="5"/>
      <c r="D16" s="5"/>
    </row>
    <row r="17" customFormat="false" ht="15" hidden="false" customHeight="false" outlineLevel="0" collapsed="false">
      <c r="A17" s="6" t="s">
        <v>281</v>
      </c>
      <c r="B17" s="6"/>
      <c r="C17" s="6"/>
      <c r="D17" s="6"/>
    </row>
    <row r="18" customFormat="false" ht="15" hidden="false" customHeight="false" outlineLevel="0" collapsed="false">
      <c r="A18" s="6" t="s">
        <v>282</v>
      </c>
      <c r="B18" s="6"/>
      <c r="C18" s="6"/>
      <c r="D18" s="6"/>
    </row>
    <row r="19" customFormat="false" ht="15" hidden="false" customHeight="false" outlineLevel="0" collapsed="false">
      <c r="A19" s="6" t="s">
        <v>283</v>
      </c>
      <c r="B19" s="6"/>
      <c r="C19" s="6"/>
      <c r="D19" s="6"/>
    </row>
    <row r="20" customFormat="false" ht="15" hidden="false" customHeight="false" outlineLevel="0" collapsed="false">
      <c r="A20" s="6" t="s">
        <v>284</v>
      </c>
      <c r="B20" s="6"/>
      <c r="C20" s="6"/>
      <c r="D20" s="6"/>
    </row>
  </sheetData>
  <mergeCells count="4">
    <mergeCell ref="A17:D17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3"/>
    <col collapsed="false" customWidth="true" hidden="false" outlineLevel="0" max="9" min="4" style="0" width="15"/>
  </cols>
  <sheetData>
    <row r="1" customFormat="false" ht="17.35" hidden="false" customHeight="false" outlineLevel="0" collapsed="false">
      <c r="A1" s="1" t="s">
        <v>285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286</v>
      </c>
    </row>
    <row r="4" customFormat="false" ht="15" hidden="false" customHeight="false" outlineLevel="0" collapsed="false">
      <c r="A4" s="37" t="s">
        <v>287</v>
      </c>
      <c r="B4" s="38" t="s">
        <v>288</v>
      </c>
      <c r="C4" s="38" t="s">
        <v>215</v>
      </c>
      <c r="D4" s="38" t="s">
        <v>289</v>
      </c>
      <c r="E4" s="38" t="s">
        <v>24</v>
      </c>
      <c r="F4" s="38" t="s">
        <v>212</v>
      </c>
      <c r="G4" s="38" t="s">
        <v>225</v>
      </c>
      <c r="H4" s="38" t="s">
        <v>226</v>
      </c>
      <c r="I4" s="38" t="s">
        <v>290</v>
      </c>
    </row>
    <row r="5" customFormat="false" ht="15" hidden="false" customHeight="false" outlineLevel="0" collapsed="false">
      <c r="A5" s="3" t="s">
        <v>291</v>
      </c>
      <c r="B5" s="15" t="n">
        <v>1</v>
      </c>
      <c r="C5" s="15" t="n">
        <v>1</v>
      </c>
      <c r="D5" s="19" t="n">
        <v>0</v>
      </c>
      <c r="E5" s="27" t="n">
        <f aca="false">Annahmen!$B$4*Annahmen!$B$7*(Annahmen!$B$8*Annahmen!$D$24*Annahmen!$C$18+Annahmen!$B$9*Annahmen!$D$25*Annahmen!$C$19+Annahmen!$B$10*Annahmen!$D$26*Annahmen!$C$20)*Annahmen!$B$57*$B5+Annahmen!$D$35*$B5</f>
        <v>493747.899159664</v>
      </c>
      <c r="F5" s="27" t="n">
        <f aca="false">Annahmen!$B$38*(Annahmen!$B$39+$D5+Annahmen!$B$40)*12*(1+Annahmen!$B$42)^1+Annahmen!$D$45*$C5+Annahmen!$D$46+Annahmen!$D$47+Annahmen!$D$48+Annahmen!$D$49+Annahmen!$D$50+Annahmen!$D$51+Annahmen!$D$52+(Annahmen!$D$30+Annahmen!$D$33)*$B5*Annahmen!$B$53</f>
        <v>402129</v>
      </c>
      <c r="G5" s="25" t="n">
        <f aca="false">E5-F5</f>
        <v>91618.8991596639</v>
      </c>
      <c r="H5" s="29" t="n">
        <f aca="false">IFERROR(G5/E5,0)</f>
        <v>0.185558053645585</v>
      </c>
      <c r="I5" s="23" t="n">
        <f aca="false">G5-Finanzierung!$D$43</f>
        <v>34247.5420168067</v>
      </c>
    </row>
    <row r="6" customFormat="false" ht="15" hidden="false" customHeight="false" outlineLevel="0" collapsed="false">
      <c r="A6" s="3" t="s">
        <v>292</v>
      </c>
      <c r="B6" s="15" t="n">
        <v>0.9</v>
      </c>
      <c r="C6" s="15" t="n">
        <v>1</v>
      </c>
      <c r="D6" s="19" t="n">
        <v>0</v>
      </c>
      <c r="E6" s="27" t="n">
        <f aca="false">Annahmen!$B$4*Annahmen!$B$7*(Annahmen!$B$8*Annahmen!$D$24*Annahmen!$C$18+Annahmen!$B$9*Annahmen!$D$25*Annahmen!$C$19+Annahmen!$B$10*Annahmen!$D$26*Annahmen!$C$20)*Annahmen!$B$57*$B6+Annahmen!$D$35*$B6</f>
        <v>444373.109243698</v>
      </c>
      <c r="F6" s="27" t="n">
        <f aca="false">Annahmen!$B$38*(Annahmen!$B$39+$D6+Annahmen!$B$40)*12*(1+Annahmen!$B$42)^1+Annahmen!$D$45*$C6+Annahmen!$D$46+Annahmen!$D$47+Annahmen!$D$48+Annahmen!$D$49+Annahmen!$D$50+Annahmen!$D$51+Annahmen!$D$52+(Annahmen!$D$30+Annahmen!$D$33)*$B6*Annahmen!$B$53</f>
        <v>398957</v>
      </c>
      <c r="G6" s="23" t="n">
        <f aca="false">E6-F6</f>
        <v>45416.1092436975</v>
      </c>
      <c r="H6" s="29" t="n">
        <f aca="false">IFERROR(G6/E6,0)</f>
        <v>0.102202649753028</v>
      </c>
      <c r="I6" s="23" t="n">
        <f aca="false">G6-Finanzierung!$D$43</f>
        <v>-11955.2478991597</v>
      </c>
    </row>
    <row r="7" customFormat="false" ht="15" hidden="false" customHeight="false" outlineLevel="0" collapsed="false">
      <c r="A7" s="3" t="s">
        <v>293</v>
      </c>
      <c r="B7" s="15" t="n">
        <v>1.1</v>
      </c>
      <c r="C7" s="15" t="n">
        <v>1</v>
      </c>
      <c r="D7" s="19" t="n">
        <v>0</v>
      </c>
      <c r="E7" s="27" t="n">
        <f aca="false">Annahmen!$B$4*Annahmen!$B$7*(Annahmen!$B$8*Annahmen!$D$24*Annahmen!$C$18+Annahmen!$B$9*Annahmen!$D$25*Annahmen!$C$19+Annahmen!$B$10*Annahmen!$D$26*Annahmen!$C$20)*Annahmen!$B$57*$B7+Annahmen!$D$35*$B7</f>
        <v>543122.68907563</v>
      </c>
      <c r="F7" s="27" t="n">
        <f aca="false">Annahmen!$B$38*(Annahmen!$B$39+$D7+Annahmen!$B$40)*12*(1+Annahmen!$B$42)^1+Annahmen!$D$45*$C7+Annahmen!$D$46+Annahmen!$D$47+Annahmen!$D$48+Annahmen!$D$49+Annahmen!$D$50+Annahmen!$D$51+Annahmen!$D$52+(Annahmen!$D$30+Annahmen!$D$33)*$B7*Annahmen!$B$53</f>
        <v>405301</v>
      </c>
      <c r="G7" s="23" t="n">
        <f aca="false">E7-F7</f>
        <v>137821.68907563</v>
      </c>
      <c r="H7" s="29" t="n">
        <f aca="false">IFERROR(G7/E7,0)</f>
        <v>0.253757929557678</v>
      </c>
      <c r="I7" s="23" t="n">
        <f aca="false">G7-Finanzierung!$D$43</f>
        <v>80450.3319327731</v>
      </c>
    </row>
    <row r="8" customFormat="false" ht="15" hidden="false" customHeight="false" outlineLevel="0" collapsed="false">
      <c r="A8" s="3" t="s">
        <v>294</v>
      </c>
      <c r="B8" s="15" t="n">
        <v>1</v>
      </c>
      <c r="C8" s="15" t="n">
        <v>1.3</v>
      </c>
      <c r="D8" s="19" t="n">
        <v>0</v>
      </c>
      <c r="E8" s="27" t="n">
        <f aca="false">Annahmen!$B$4*Annahmen!$B$7*(Annahmen!$B$8*Annahmen!$D$24*Annahmen!$C$18+Annahmen!$B$9*Annahmen!$D$25*Annahmen!$C$19+Annahmen!$B$10*Annahmen!$D$26*Annahmen!$C$20)*Annahmen!$B$57*$B8+Annahmen!$D$35*$B8</f>
        <v>493747.899159664</v>
      </c>
      <c r="F8" s="27" t="n">
        <f aca="false">Annahmen!$B$38*(Annahmen!$B$39+$D8+Annahmen!$B$40)*12*(1+Annahmen!$B$42)^1+Annahmen!$D$45*$C8+Annahmen!$D$46+Annahmen!$D$47+Annahmen!$D$48+Annahmen!$D$49+Annahmen!$D$50+Annahmen!$D$51+Annahmen!$D$52+(Annahmen!$D$30+Annahmen!$D$33)*$B8*Annahmen!$B$53</f>
        <v>416529</v>
      </c>
      <c r="G8" s="23" t="n">
        <f aca="false">E8-F8</f>
        <v>77218.8991596639</v>
      </c>
      <c r="H8" s="29" t="n">
        <f aca="false">IFERROR(G8/E8,0)</f>
        <v>0.156393372591735</v>
      </c>
      <c r="I8" s="23" t="n">
        <f aca="false">G8-Finanzierung!$D$43</f>
        <v>19847.5420168067</v>
      </c>
    </row>
    <row r="9" customFormat="false" ht="15" hidden="false" customHeight="false" outlineLevel="0" collapsed="false">
      <c r="A9" s="3" t="s">
        <v>295</v>
      </c>
      <c r="B9" s="15" t="n">
        <v>1</v>
      </c>
      <c r="C9" s="15" t="n">
        <v>1</v>
      </c>
      <c r="D9" s="19" t="n">
        <v>1</v>
      </c>
      <c r="E9" s="27" t="n">
        <f aca="false">Annahmen!$B$4*Annahmen!$B$7*(Annahmen!$B$8*Annahmen!$D$24*Annahmen!$C$18+Annahmen!$B$9*Annahmen!$D$25*Annahmen!$C$19+Annahmen!$B$10*Annahmen!$D$26*Annahmen!$C$20)*Annahmen!$B$57*$B9+Annahmen!$D$35*$B9</f>
        <v>493747.899159664</v>
      </c>
      <c r="F9" s="27" t="n">
        <f aca="false">Annahmen!$B$38*(Annahmen!$B$39+$D9+Annahmen!$B$40)*12*(1+Annahmen!$B$42)^1+Annahmen!$D$45*$C9+Annahmen!$D$46+Annahmen!$D$47+Annahmen!$D$48+Annahmen!$D$49+Annahmen!$D$50+Annahmen!$D$51+Annahmen!$D$52+(Annahmen!$D$30+Annahmen!$D$33)*$B9*Annahmen!$B$53</f>
        <v>420399</v>
      </c>
      <c r="G9" s="23" t="n">
        <f aca="false">E9-F9</f>
        <v>73348.8991596639</v>
      </c>
      <c r="H9" s="29" t="n">
        <f aca="false">IFERROR(G9/E9,0)</f>
        <v>0.148555364558513</v>
      </c>
      <c r="I9" s="23" t="n">
        <f aca="false">G9-Finanzierung!$D$43</f>
        <v>15977.5420168067</v>
      </c>
    </row>
    <row r="10" customFormat="false" ht="15" hidden="false" customHeight="false" outlineLevel="0" collapsed="false">
      <c r="A10" s="3" t="s">
        <v>296</v>
      </c>
      <c r="B10" s="15" t="n">
        <v>1</v>
      </c>
      <c r="C10" s="15" t="n">
        <v>1</v>
      </c>
      <c r="D10" s="19" t="n">
        <v>1.5</v>
      </c>
      <c r="E10" s="27" t="n">
        <f aca="false">Annahmen!$B$4*Annahmen!$B$7*(Annahmen!$B$8*Annahmen!$D$24*Annahmen!$C$18+Annahmen!$B$9*Annahmen!$D$25*Annahmen!$C$19+Annahmen!$B$10*Annahmen!$D$26*Annahmen!$C$20)*Annahmen!$B$57*$B10+Annahmen!$D$35*$B10</f>
        <v>493747.899159664</v>
      </c>
      <c r="F10" s="27" t="n">
        <f aca="false">Annahmen!$B$38*(Annahmen!$B$39+$D10+Annahmen!$B$40)*12*(1+Annahmen!$B$42)^1+Annahmen!$D$45*$C10+Annahmen!$D$46+Annahmen!$D$47+Annahmen!$D$48+Annahmen!$D$49+Annahmen!$D$50+Annahmen!$D$51+Annahmen!$D$52+(Annahmen!$D$30+Annahmen!$D$33)*$B10*Annahmen!$B$53</f>
        <v>429534</v>
      </c>
      <c r="G10" s="23" t="n">
        <f aca="false">E10-F10</f>
        <v>64213.8991596639</v>
      </c>
      <c r="H10" s="29" t="n">
        <f aca="false">IFERROR(G10/E10,0)</f>
        <v>0.130054020014977</v>
      </c>
      <c r="I10" s="23" t="n">
        <f aca="false">G10-Finanzierung!$D$43</f>
        <v>6842.54201680679</v>
      </c>
    </row>
    <row r="11" customFormat="false" ht="15" hidden="false" customHeight="false" outlineLevel="0" collapsed="false">
      <c r="A11" s="3" t="s">
        <v>297</v>
      </c>
      <c r="B11" s="15" t="n">
        <v>0.9</v>
      </c>
      <c r="C11" s="15" t="n">
        <v>1.3</v>
      </c>
      <c r="D11" s="19" t="n">
        <v>1</v>
      </c>
      <c r="E11" s="27" t="n">
        <f aca="false">Annahmen!$B$4*Annahmen!$B$7*(Annahmen!$B$8*Annahmen!$D$24*Annahmen!$C$18+Annahmen!$B$9*Annahmen!$D$25*Annahmen!$C$19+Annahmen!$B$10*Annahmen!$D$26*Annahmen!$C$20)*Annahmen!$B$57*$B11+Annahmen!$D$35*$B11</f>
        <v>444373.109243698</v>
      </c>
      <c r="F11" s="27" t="n">
        <f aca="false">Annahmen!$B$38*(Annahmen!$B$39+$D11+Annahmen!$B$40)*12*(1+Annahmen!$B$42)^1+Annahmen!$D$45*$C11+Annahmen!$D$46+Annahmen!$D$47+Annahmen!$D$48+Annahmen!$D$49+Annahmen!$D$50+Annahmen!$D$51+Annahmen!$D$52+(Annahmen!$D$30+Annahmen!$D$33)*$B11*Annahmen!$B$53</f>
        <v>431627</v>
      </c>
      <c r="G11" s="23" t="n">
        <f aca="false">E11-F11</f>
        <v>12746.1092436975</v>
      </c>
      <c r="H11" s="29" t="n">
        <f aca="false">IFERROR(G11/E11,0)</f>
        <v>0.0286833495964479</v>
      </c>
      <c r="I11" s="23" t="n">
        <f aca="false">G11-Finanzierung!$D$43</f>
        <v>-44625.2478991597</v>
      </c>
    </row>
    <row r="13" customFormat="false" ht="15" hidden="false" customHeight="false" outlineLevel="0" collapsed="false">
      <c r="A13" s="4" t="s">
        <v>298</v>
      </c>
      <c r="B13" s="5"/>
      <c r="C13" s="5"/>
      <c r="D13" s="5"/>
      <c r="E13" s="5"/>
      <c r="F13" s="5"/>
      <c r="G13" s="5"/>
      <c r="H13" s="5"/>
      <c r="I13" s="5"/>
    </row>
    <row r="14" customFormat="false" ht="15" hidden="false" customHeight="false" outlineLevel="0" collapsed="false">
      <c r="A14" s="6" t="s">
        <v>299</v>
      </c>
      <c r="B14" s="6"/>
      <c r="C14" s="6"/>
      <c r="D14" s="6"/>
      <c r="E14" s="6"/>
      <c r="F14" s="6"/>
      <c r="G14" s="6"/>
      <c r="H14" s="6"/>
      <c r="I14" s="6"/>
    </row>
    <row r="15" customFormat="false" ht="15" hidden="false" customHeight="false" outlineLevel="0" collapsed="false">
      <c r="A15" s="6" t="s">
        <v>300</v>
      </c>
      <c r="B15" s="6"/>
      <c r="C15" s="6"/>
      <c r="D15" s="6"/>
      <c r="E15" s="6"/>
      <c r="F15" s="6"/>
      <c r="G15" s="6"/>
      <c r="H15" s="6"/>
      <c r="I15" s="6"/>
    </row>
    <row r="16" customFormat="false" ht="15" hidden="false" customHeight="false" outlineLevel="0" collapsed="false">
      <c r="A16" s="6" t="s">
        <v>301</v>
      </c>
      <c r="B16" s="6"/>
      <c r="C16" s="6"/>
      <c r="D16" s="6"/>
      <c r="E16" s="6"/>
      <c r="F16" s="6"/>
      <c r="G16" s="6"/>
      <c r="H16" s="6"/>
      <c r="I16" s="6"/>
    </row>
  </sheetData>
  <mergeCells count="3">
    <mergeCell ref="A14:I14"/>
    <mergeCell ref="A15:I15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2026-07-29T09:55:38Z</dcterms:created>
  <dc:creator>openpyxl</dc:creator>
  <dc:description/>
  <dc:language>en-US</dc:language>
  <cp:lastModifiedBy/>
  <dcterms:modified xsi:type="dcterms:W3CDTF">2026-07-29T09:55:38Z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